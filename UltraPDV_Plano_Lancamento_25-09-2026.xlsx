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ff810411e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o Mestre" sheetId="1" r:id="Ra33a5a7877614d17"/>
    <x:sheet xmlns:r="http://schemas.openxmlformats.org/officeDocument/2006/relationships" name="Dashboard" sheetId="2" r:id="Rd844d09ac9eb464f"/>
    <x:sheet xmlns:r="http://schemas.openxmlformats.org/officeDocument/2006/relationships" name="Testes de Aceite" sheetId="3" r:id="R4e499fdffaaa4163"/>
    <x:sheet xmlns:r="http://schemas.openxmlformats.org/officeDocument/2006/relationships" name="Bugs e Pendências" sheetId="4" r:id="Rd53ad5bf2be24e1d"/>
    <x:sheet xmlns:r="http://schemas.openxmlformats.org/officeDocument/2006/relationships" name="Calendário" sheetId="5" r:id="R371f2a0d25b145bf"/>
    <x:sheet xmlns:r="http://schemas.openxmlformats.org/officeDocument/2006/relationships" name="Backlog Pós-Lançamento" sheetId="6" r:id="R6b5ee21ad7b74cc7"/>
    <x:sheet xmlns:r="http://schemas.openxmlformats.org/officeDocument/2006/relationships" name="Como Usar" sheetId="7" r:id="Reddf2eb3fbe648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%"/>
  </x:numFmts>
  <x:fonts count="14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8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65D"/>
      <x:name val="Aptos"/>
    </x:font>
    <x:font>
      <x:b/>
      <x:sz val="10"/>
      <x:name val="Aptos"/>
    </x:font>
    <x:font>
      <x:b/>
      <x:sz val="20"/>
      <x:color rgb="FFFFFFFF"/>
      <x:name val="Aptos Display"/>
    </x:font>
    <x:font>
      <x:b/>
      <x:sz val="11"/>
      <x:color rgb="FF17365D"/>
      <x:name val="Aptos"/>
    </x:font>
    <x:font>
      <x:b/>
      <x:sz val="18"/>
      <x:color rgb="FFFFFFFF"/>
      <x:name val="Aptos Display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6B0A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9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201" fontId="8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/>
    <x:xf numFmtId="0" fontId="9" fillId="3" borderId="1" xfId="0" applyNumberFormat="1" applyFont="1" applyFill="1" applyBorder="1" applyAlignment="1">
      <x:alignment horizontal="center"/>
    </x:xf>
    <x:xf numFmtId="0" fontId="10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201" fontId="8" fillId="0" borderId="1" xfId="0" applyNumberFormat="1" applyFont="1" applyFill="1" applyBorder="1"/>
    <x:xf numFmtId="0" fontId="7" fillId="4" borderId="1" xfId="0" applyNumberFormat="1" applyFont="1" applyFill="1" applyBorder="1" applyAlignment="1">
      <x:alignment horizontal="center"/>
    </x:xf>
    <x:xf numFmtId="0" fontId="10" fillId="5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vertical="top"/>
    </x:xf>
    <x:xf numFmtId="0" fontId="8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 wrapText="1"/>
    </x:xf>
    <x:xf numFmtId="200" fontId="8" fillId="0" borderId="0" xfId="0" applyNumberFormat="1" applyFont="1" applyFill="1" applyBorder="1" applyAlignment="1">
      <x:alignment vertical="top"/>
    </x:xf>
    <x:xf numFmtId="0" fontId="7" fillId="2" borderId="1" xfId="0" applyNumberFormat="1" applyFont="1" applyFill="1" applyBorder="1" applyAlignment="1">
      <x:alignment horizontal="center" vertical="top"/>
    </x:xf>
    <x:xf numFmtId="0" fontId="8" fillId="0" borderId="1" xfId="0" applyNumberFormat="1" applyFont="1" applyFill="1" applyBorder="1" applyAlignment="1">
      <x:alignment vertical="top"/>
    </x:xf>
    <x:xf numFmtId="0" fontId="8" fillId="0" borderId="1" xfId="0" applyNumberFormat="1" applyFont="1" applyFill="1" applyBorder="1" applyAlignment="1">
      <x:alignment vertical="top" wrapText="1"/>
    </x:xf>
    <x:xf numFmtId="200" fontId="8" fillId="0" borderId="1" xfId="0" applyNumberFormat="1" applyFont="1" applyFill="1" applyBorder="1" applyAlignment="1">
      <x:alignment vertical="top"/>
    </x:xf>
    <x:xf numFmtId="200" fontId="8" fillId="0" borderId="0" xfId="0" applyNumberFormat="1" applyFont="1" applyFill="1" applyBorder="1"/>
    <x:xf numFmtId="200" fontId="8" fillId="0" borderId="1" xfId="0" applyNumberFormat="1" applyFont="1" applyFill="1" applyBorder="1"/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horizontal="center" vertical="center"/>
    </x:xf>
    <x:xf numFmtId="0" fontId="11" fillId="2" borderId="1" xfId="0" applyNumberFormat="1" applyFont="1" applyFill="1" applyBorder="1" applyAlignment="1">
      <x:alignment horizontal="center" vertical="center"/>
    </x:xf>
    <x:xf numFmtId="0" fontId="12" fillId="3" borderId="0" xfId="0" applyNumberFormat="1" applyFont="1" applyFill="1" applyBorder="1" applyAlignment="1">
      <x:alignment horizontal="center"/>
    </x:xf>
    <x:xf numFmtId="0" fontId="12" fillId="3" borderId="1" xfId="0" applyNumberFormat="1" applyFont="1" applyFill="1" applyBorder="1" applyAlignment="1">
      <x:alignment horizontal="center"/>
    </x:xf>
    <x:xf numFmtId="0" fontId="13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3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1F4E78"/>
      </x:font>
      <x:fill>
        <x:patternFill patternType="solid">
          <x:bgColor rgb="FFD9EAF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2c45ac73374743" /><Relationship Type="http://schemas.openxmlformats.org/officeDocument/2006/relationships/theme" Target="/xl/theme/theme1.xml" Id="Re0e0412c69b742db" /><Relationship Type="http://schemas.openxmlformats.org/officeDocument/2006/relationships/sharedStrings" Target="/xl/sharedStrings.xml" Id="R57c36c524da241f8" /><Relationship Type="http://schemas.openxmlformats.org/officeDocument/2006/relationships/worksheet" Target="/xl/worksheets/sheet1.xml" Id="Ra33a5a7877614d17" /><Relationship Type="http://schemas.openxmlformats.org/officeDocument/2006/relationships/worksheet" Target="/xl/worksheets/sheet2.xml" Id="Rd844d09ac9eb464f" /><Relationship Type="http://schemas.openxmlformats.org/officeDocument/2006/relationships/worksheet" Target="/xl/worksheets/sheet3.xml" Id="R4e499fdffaaa4163" /><Relationship Type="http://schemas.openxmlformats.org/officeDocument/2006/relationships/worksheet" Target="/xl/worksheets/sheet4.xml" Id="Rd53ad5bf2be24e1d" /><Relationship Type="http://schemas.openxmlformats.org/officeDocument/2006/relationships/worksheet" Target="/xl/worksheets/sheet5.xml" Id="R371f2a0d25b145bf" /><Relationship Type="http://schemas.openxmlformats.org/officeDocument/2006/relationships/worksheet" Target="/xl/worksheets/sheet6.xml" Id="R6b5ee21ad7b74cc7" /><Relationship Type="http://schemas.openxmlformats.org/officeDocument/2006/relationships/worksheet" Target="/xl/worksheets/sheet7.xml" Id="Reddf2eb3fbe648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5e62e0ffda34a2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Itens por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Quantidade</c:v>
          </c:tx>
          <c:cat>
            <c:strRef>
              <c:f>'Dashboard'!$A$17:$A$21</c:f>
              <c:strCache>
                <c:ptCount val="0"/>
              </c:strCache>
            </c:strRef>
          </c:cat>
          <c:val>
            <c:numRef>
              <c:f>'Dashboard'!$B$17:$B$21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e62e0ffda34a2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lanoMestreTable" displayName="PlanoMestreTable" ref="A1:P130" headerRowCount="1" totalsRowCount="0" totalsRowShown="0">
  <x:tableColumns count="16">
    <x:tableColumn id="1" name="ID"/>
    <x:tableColumn id="2" name="Fase"/>
    <x:tableColumn id="3" name="Área"/>
    <x:tableColumn id="4" name="Plataforma"/>
    <x:tableColumn id="5" name="Item"/>
    <x:tableColumn id="6" name="Critério de aceite"/>
    <x:tableColumn id="7" name="Prioridade"/>
    <x:tableColumn id="8" name="Status"/>
    <x:tableColumn id="9" name="Início"/>
    <x:tableColumn id="10" name="Prazo"/>
    <x:tableColumn id="11" name="Dependência"/>
    <x:tableColumn id="12" name="Responsável"/>
    <x:tableColumn id="13" name="Obrigatório 25/09?"/>
    <x:tableColumn id="14" name="Conferido?"/>
    <x:tableColumn id="15" name="Evidência / commit / observação"/>
    <x:tableColumn id="16" name="Not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esAceiteTable" displayName="TestesAceiteTable" ref="A1:N36" headerRowCount="1" totalsRowCount="0" totalsRowShown="0">
  <x:tableColumns count="14">
    <x:tableColumn id="1" name="ID"/>
    <x:tableColumn id="2" name="Área"/>
    <x:tableColumn id="3" name="Cenário"/>
    <x:tableColumn id="4" name="Pré-condição"/>
    <x:tableColumn id="5" name="Passos resumidos"/>
    <x:tableColumn id="6" name="Resultado esperado"/>
    <x:tableColumn id="7" name="Web"/>
    <x:tableColumn id="8" name="Mobile"/>
    <x:tableColumn id="9" name="Empresa A"/>
    <x:tableColumn id="10" name="Empresa B"/>
    <x:tableColumn id="11" name="Status"/>
    <x:tableColumn id="12" name="Data"/>
    <x:tableColumn id="13" name="Evidência"/>
    <x:tableColumn id="14" name="Responsáve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ugsTable" displayName="BugsTable" ref="A1:N200" headerRowCount="1" totalsRowCount="0" totalsRowShown="0">
  <x:tableColumns count="14">
    <x:tableColumn id="1" name="BUG-ID"/>
    <x:tableColumn id="2" name="Data"/>
    <x:tableColumn id="3" name="Área"/>
    <x:tableColumn id="4" name="Plataforma"/>
    <x:tableColumn id="5" name="Descrição"/>
    <x:tableColumn id="6" name="Como reproduzir"/>
    <x:tableColumn id="7" name="Impacto"/>
    <x:tableColumn id="8" name="Prioridade"/>
    <x:tableColumn id="9" name="Status"/>
    <x:tableColumn id="10" name="Responsável"/>
    <x:tableColumn id="11" name="Prazo"/>
    <x:tableColumn id="12" name="Commit/PR"/>
    <x:tableColumn id="13" name="Reteste"/>
    <x:tableColumn id="14" name="Evidência/Nota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cklogTable" displayName="BacklogTable" ref="A1:G100" headerRowCount="1" totalsRowCount="0" totalsRowShown="0">
  <x:tableColumns count="7">
    <x:tableColumn id="1" name="ID"/>
    <x:tableColumn id="2" name="Área"/>
    <x:tableColumn id="3" name="Ideia / melhoria"/>
    <x:tableColumn id="4" name="Motivo de ficar pós-lançamento"/>
    <x:tableColumn id="5" name="Prioridade futura"/>
    <x:tableColumn id="6" name="Status"/>
    <x:tableColumn id="7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6d60b006a649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27de50490194d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bf2a48e95040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b6681e004743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c9d84ffd8c4413d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18" hidden="0" customWidth="1"/>
    <x:col min="4" max="4" width="15" hidden="0" customWidth="1"/>
    <x:col min="5" max="5" width="38" hidden="0" customWidth="1"/>
    <x:col min="6" max="6" width="48" hidden="0" customWidth="1"/>
    <x:col min="7" max="7" width="10" hidden="0" customWidth="1"/>
    <x:col min="8" max="8" width="16" hidden="0" customWidth="1"/>
    <x:col min="9" max="9" width="12" hidden="0" customWidth="1"/>
    <x:col min="10" max="10" width="12" hidden="0" customWidth="1"/>
    <x:col min="11" max="11" width="15" hidden="0" customWidth="1"/>
    <x:col min="12" max="12" width="16" hidden="0" customWidth="1"/>
    <x:col min="13" max="13" width="16" hidden="0" customWidth="1"/>
    <x:col min="14" max="14" width="12" hidden="0" customWidth="1"/>
    <x:col min="15" max="15" width="32" hidden="0" customWidth="1"/>
    <x:col min="16" max="16" width="28" hidden="0" customWidth="1"/>
  </x:cols>
  <x:sheetData>
    <x:row r="1" ht="28" customHeight="1">
      <x:c r="A1" s="76" t="str">
        <x:v>ID</x:v>
      </x:c>
      <x:c r="B1" s="76" t="str">
        <x:v>Fase</x:v>
      </x:c>
      <x:c r="C1" s="76" t="str">
        <x:v>Área</x:v>
      </x:c>
      <x:c r="D1" s="76" t="str">
        <x:v>Plataforma</x:v>
      </x:c>
      <x:c r="E1" s="76" t="str">
        <x:v>Item</x:v>
      </x:c>
      <x:c r="F1" s="76" t="str">
        <x:v>Critério de aceite</x:v>
      </x:c>
      <x:c r="G1" s="76" t="str">
        <x:v>Prioridade</x:v>
      </x:c>
      <x:c r="H1" s="76" t="str">
        <x:v>Status</x:v>
      </x:c>
      <x:c r="I1" s="76" t="str">
        <x:v>Início</x:v>
      </x:c>
      <x:c r="J1" s="76" t="str">
        <x:v>Prazo</x:v>
      </x:c>
      <x:c r="K1" s="76" t="str">
        <x:v>Dependência</x:v>
      </x:c>
      <x:c r="L1" s="76" t="str">
        <x:v>Responsável</x:v>
      </x:c>
      <x:c r="M1" s="76" t="str">
        <x:v>Obrigatório 25/09?</x:v>
      </x:c>
      <x:c r="N1" s="76" t="str">
        <x:v>Conferido?</x:v>
      </x:c>
      <x:c r="O1" s="76" t="str">
        <x:v>Evidência / commit / observação</x:v>
      </x:c>
      <x:c r="P1" s="76" t="str">
        <x:v>Notas</x:v>
      </x:c>
      <x:c r="Q1" s="61"/>
    </x:row>
    <x:row r="2">
      <x:c r="A2" s="77" t="str">
        <x:v>ORG-001</x:v>
      </x:c>
      <x:c r="B2" s="77" t="str">
        <x:v>0. Organização</x:v>
      </x:c>
      <x:c r="C2" s="77" t="str">
        <x:v>Escopo</x:v>
      </x:c>
      <x:c r="D2" s="77" t="str">
        <x:v>Operação</x:v>
      </x:c>
      <x:c r="E2" s="78" t="str">
        <x:v>Congelar o escopo do lançamento de 25/09</x:v>
      </x:c>
      <x:c r="F2" s="78" t="str">
        <x:v>Lista oficial separa: obrigatório para lançar / pós-lançamento. Nenhum item novo entra sem classificação P0/P1/P2.</x:v>
      </x:c>
      <x:c r="G2" s="77" t="str">
        <x:v>P0</x:v>
      </x:c>
      <x:c r="H2" s="77" t="str">
        <x:v>Em andamento</x:v>
      </x:c>
      <x:c r="I2" s="79" t="n">
        <x:v>46258</x:v>
      </x:c>
      <x:c r="J2" s="79" t="n">
        <x:v>46258</x:v>
      </x:c>
      <x:c r="K2" s="77" t="str"/>
      <x:c r="L2" s="77" t="str"/>
      <x:c r="M2" s="77" t="str">
        <x:v>Sim</x:v>
      </x:c>
      <x:c r="N2" s="77" t="str">
        <x:v>Não</x:v>
      </x:c>
      <x:c r="O2" s="78" t="str"/>
      <x:c r="P2" s="78" t="str"/>
      <x:c r="Q2" s="61"/>
    </x:row>
    <x:row r="3">
      <x:c r="A3" s="77" t="str">
        <x:v>ORG-002</x:v>
      </x:c>
      <x:c r="B3" s="77" t="str">
        <x:v>0. Organização</x:v>
      </x:c>
      <x:c r="C3" s="77" t="str">
        <x:v>Gestão</x:v>
      </x:c>
      <x:c r="D3" s="77" t="str">
        <x:v>Operação</x:v>
      </x:c>
      <x:c r="E3" s="78" t="str">
        <x:v>Usar esta planilha como fonte única de acompanhamento</x:v>
      </x:c>
      <x:c r="F3" s="78" t="str">
        <x:v>Toda nova ideia, bug ou pendência é registrada antes de mudar o foco de desenvolvimento.</x:v>
      </x:c>
      <x:c r="G3" s="77" t="str">
        <x:v>P0</x:v>
      </x:c>
      <x:c r="H3" s="77" t="str">
        <x:v>Em andamento</x:v>
      </x:c>
      <x:c r="I3" s="79" t="n">
        <x:v>46258</x:v>
      </x:c>
      <x:c r="J3" s="79" t="n">
        <x:v>46258</x:v>
      </x:c>
      <x:c r="K3" s="77" t="str">
        <x:v>ORG-001</x:v>
      </x:c>
      <x:c r="L3" s="77" t="str"/>
      <x:c r="M3" s="77" t="str">
        <x:v>Sim</x:v>
      </x:c>
      <x:c r="N3" s="77" t="str">
        <x:v>Não</x:v>
      </x:c>
      <x:c r="O3" s="78" t="str"/>
      <x:c r="P3" s="78" t="str"/>
      <x:c r="Q3" s="61"/>
    </x:row>
    <x:row r="4">
      <x:c r="A4" s="77" t="str">
        <x:v>ORG-003</x:v>
      </x:c>
      <x:c r="B4" s="77" t="str">
        <x:v>0. Organização</x:v>
      </x:c>
      <x:c r="C4" s="77" t="str">
        <x:v>Gestão</x:v>
      </x:c>
      <x:c r="D4" s="77" t="str">
        <x:v>Operação</x:v>
      </x:c>
      <x:c r="E4" s="78" t="str">
        <x:v>Fazer triagem diária P0 / P1 / P2</x:v>
      </x:c>
      <x:c r="F4" s="78" t="str">
        <x:v>P0 impede venda, altera dinheiro/dado ou segurança; P1 função importante; P2 melhoria/conveniência.</x:v>
      </x:c>
      <x:c r="G4" s="77" t="str">
        <x:v>P0</x:v>
      </x:c>
      <x:c r="H4" s="77" t="str">
        <x:v>Não iniciado</x:v>
      </x:c>
      <x:c r="I4" s="79" t="n">
        <x:v>46258</x:v>
      </x:c>
      <x:c r="J4" s="79" t="n">
        <x:v>46289</x:v>
      </x:c>
      <x:c r="K4" s="77" t="str">
        <x:v>ORG-002</x:v>
      </x:c>
      <x:c r="L4" s="77" t="str"/>
      <x:c r="M4" s="77" t="str">
        <x:v>Sim</x:v>
      </x:c>
      <x:c r="N4" s="77" t="str">
        <x:v>Não</x:v>
      </x:c>
      <x:c r="O4" s="78" t="str"/>
      <x:c r="P4" s="78" t="str"/>
      <x:c r="Q4" s="61"/>
    </x:row>
    <x:row r="5">
      <x:c r="A5" s="77" t="str">
        <x:v>ORG-004</x:v>
      </x:c>
      <x:c r="B5" s="77" t="str">
        <x:v>0. Organização</x:v>
      </x:c>
      <x:c r="C5" s="77" t="str">
        <x:v>Git</x:v>
      </x:c>
      <x:c r="D5" s="77" t="str">
        <x:v>Web + Mobile</x:v>
      </x:c>
      <x:c r="E5" s="78" t="str">
        <x:v>Confirmar repositórios Web e Mobile limpos e sincronizados</x:v>
      </x:c>
      <x:c r="F5" s="78" t="str">
        <x:v>git status limpo; main sincronizada com origin; commits identificáveis nos dois projetos.</x:v>
      </x:c>
      <x:c r="G5" s="77" t="str">
        <x:v>P0</x:v>
      </x:c>
      <x:c r="H5" s="77" t="str">
        <x:v>Não iniciado</x:v>
      </x:c>
      <x:c r="I5" s="79" t="n">
        <x:v>46258</x:v>
      </x:c>
      <x:c r="J5" s="79" t="n">
        <x:v>46258</x:v>
      </x:c>
      <x:c r="K5" s="77" t="str"/>
      <x:c r="L5" s="77" t="str"/>
      <x:c r="M5" s="77" t="str">
        <x:v>Sim</x:v>
      </x:c>
      <x:c r="N5" s="77" t="str">
        <x:v>Não</x:v>
      </x:c>
      <x:c r="O5" s="78" t="str"/>
      <x:c r="P5" s="78" t="str"/>
      <x:c r="Q5" s="61"/>
    </x:row>
    <x:row r="6">
      <x:c r="A6" s="77" t="str">
        <x:v>ORG-005</x:v>
      </x:c>
      <x:c r="B6" s="77" t="str">
        <x:v>0. Organização</x:v>
      </x:c>
      <x:c r="C6" s="77" t="str">
        <x:v>Backup</x:v>
      </x:c>
      <x:c r="D6" s="77" t="str">
        <x:v>Backend/Banco</x:v>
      </x:c>
      <x:c r="E6" s="78" t="str">
        <x:v>Definir rotina de backup antes de migrations e releases</x:v>
      </x:c>
      <x:c r="F6" s="78" t="str">
        <x:v>Existe procedimento documentado de backup/restore e ponto de recuperação antes de mudanças críticas.</x:v>
      </x:c>
      <x:c r="G6" s="77" t="str">
        <x:v>P0</x:v>
      </x:c>
      <x:c r="H6" s="77" t="str">
        <x:v>Não iniciado</x:v>
      </x:c>
      <x:c r="I6" s="79" t="n">
        <x:v>46258</x:v>
      </x:c>
      <x:c r="J6" s="79" t="n">
        <x:v>46259</x:v>
      </x:c>
      <x:c r="K6" s="77" t="str"/>
      <x:c r="L6" s="77" t="str"/>
      <x:c r="M6" s="77" t="str">
        <x:v>Sim</x:v>
      </x:c>
      <x:c r="N6" s="77" t="str">
        <x:v>Não</x:v>
      </x:c>
      <x:c r="O6" s="78" t="str"/>
      <x:c r="P6" s="78" t="str"/>
      <x:c r="Q6" s="61"/>
    </x:row>
    <x:row r="7">
      <x:c r="A7" s="77" t="str">
        <x:v>ORG-006</x:v>
      </x:c>
      <x:c r="B7" s="77" t="str">
        <x:v>0. Organização</x:v>
      </x:c>
      <x:c r="C7" s="77" t="str">
        <x:v>Mobile release</x:v>
      </x:c>
      <x:c r="D7" s="77" t="str">
        <x:v>Operação</x:v>
      </x:c>
      <x:c r="E7" s="78" t="str">
        <x:v>Decidir se o app iPhone entra no lançamento público de 25/09</x:v>
      </x:c>
      <x:c r="F7" s="78" t="str">
        <x:v>Decisão registrada: App Store/TestFlight no lançamento OU mobile fica beta controlado após lançamento.</x:v>
      </x:c>
      <x:c r="G7" s="77" t="str">
        <x:v>P0</x:v>
      </x:c>
      <x:c r="H7" s="77" t="str">
        <x:v>Não iniciado</x:v>
      </x:c>
      <x:c r="I7" s="79" t="n">
        <x:v>46258</x:v>
      </x:c>
      <x:c r="J7" s="79" t="n">
        <x:v>46259</x:v>
      </x:c>
      <x:c r="K7" s="77" t="str"/>
      <x:c r="L7" s="77" t="str"/>
      <x:c r="M7" s="77" t="str">
        <x:v>Sim</x:v>
      </x:c>
      <x:c r="N7" s="77" t="str">
        <x:v>Não</x:v>
      </x:c>
      <x:c r="O7" s="78" t="str"/>
      <x:c r="P7" s="78" t="str"/>
      <x:c r="Q7" s="61"/>
    </x:row>
    <x:row r="8">
      <x:c r="A8" s="77" t="str">
        <x:v>EST-001</x:v>
      </x:c>
      <x:c r="B8" s="77" t="str">
        <x:v>1. Estabilização</x:v>
      </x:c>
      <x:c r="C8" s="77" t="str">
        <x:v>Carteira</x:v>
      </x:c>
      <x:c r="D8" s="77" t="str">
        <x:v>Web + Mobile</x:v>
      </x:c>
      <x:c r="E8" s="78" t="str">
        <x:v>Corrigir divergência Web x Mobile na aba Em aberto</x:v>
      </x:c>
      <x:c r="F8" s="78" t="str">
        <x:v>Mesmo cliente + mesma empresa exibem exatamente os mesmos lançamentos, saldos, baixas, cancelamentos e estornos.</x:v>
      </x:c>
      <x:c r="G8" s="77" t="str">
        <x:v>P0</x:v>
      </x:c>
      <x:c r="H8" s="77" t="str">
        <x:v>Em andamento</x:v>
      </x:c>
      <x:c r="I8" s="79" t="n">
        <x:v>46258</x:v>
      </x:c>
      <x:c r="J8" s="79" t="n">
        <x:v>46259</x:v>
      </x:c>
      <x:c r="K8" s="77" t="str"/>
      <x:c r="L8" s="77" t="str"/>
      <x:c r="M8" s="77" t="str">
        <x:v>Sim</x:v>
      </x:c>
      <x:c r="N8" s="77" t="str">
        <x:v>Não</x:v>
      </x:c>
      <x:c r="O8" s="78" t="str"/>
      <x:c r="P8" s="78" t="str"/>
      <x:c r="Q8" s="61"/>
    </x:row>
    <x:row r="9">
      <x:c r="A9" s="77" t="str">
        <x:v>EST-002</x:v>
      </x:c>
      <x:c r="B9" s="77" t="str">
        <x:v>1. Estabilização</x:v>
      </x:c>
      <x:c r="C9" s="77" t="str">
        <x:v>Carteira</x:v>
      </x:c>
      <x:c r="D9" s="77" t="str">
        <x:v>Web + Mobile</x:v>
      </x:c>
      <x:c r="E9" s="78" t="str">
        <x:v>Garantir paridade de saldo devedor</x:v>
      </x:c>
      <x:c r="F9" s="78" t="str">
        <x:v>Saldo exibido no Web, Mobile e fonte de verdade do backend é idêntico para o mesmo cliente/empresa.</x:v>
      </x:c>
      <x:c r="G9" s="77" t="str">
        <x:v>P0</x:v>
      </x:c>
      <x:c r="H9" s="77" t="str">
        <x:v>Não iniciado</x:v>
      </x:c>
      <x:c r="I9" s="79" t="n">
        <x:v>46259</x:v>
      </x:c>
      <x:c r="J9" s="79" t="n">
        <x:v>46260</x:v>
      </x:c>
      <x:c r="K9" s="77" t="str">
        <x:v>EST-001</x:v>
      </x:c>
      <x:c r="L9" s="77" t="str"/>
      <x:c r="M9" s="77" t="str">
        <x:v>Sim</x:v>
      </x:c>
      <x:c r="N9" s="77" t="str">
        <x:v>Não</x:v>
      </x:c>
      <x:c r="O9" s="78" t="str"/>
      <x:c r="P9" s="78" t="str"/>
      <x:c r="Q9" s="61"/>
    </x:row>
    <x:row r="10">
      <x:c r="A10" s="77" t="str">
        <x:v>EST-003</x:v>
      </x:c>
      <x:c r="B10" s="77" t="str">
        <x:v>1. Estabilização</x:v>
      </x:c>
      <x:c r="C10" s="77" t="str">
        <x:v>Carteira</x:v>
      </x:c>
      <x:c r="D10" s="77" t="str">
        <x:v>Web + Mobile</x:v>
      </x:c>
      <x:c r="E10" s="78" t="str">
        <x:v>Garantir baixa parcial consistente</x:v>
      </x:c>
      <x:c r="F10" s="78" t="str">
        <x:v>Após baixa parcial, apenas o saldo restante aparece em aberto nos dois clientes.</x:v>
      </x:c>
      <x:c r="G10" s="77" t="str">
        <x:v>P0</x:v>
      </x:c>
      <x:c r="H10" s="77" t="str">
        <x:v>Não iniciado</x:v>
      </x:c>
      <x:c r="I10" s="79" t="n">
        <x:v>46259</x:v>
      </x:c>
      <x:c r="J10" s="79" t="n">
        <x:v>46260</x:v>
      </x:c>
      <x:c r="K10" s="77" t="str">
        <x:v>EST-001</x:v>
      </x:c>
      <x:c r="L10" s="77" t="str"/>
      <x:c r="M10" s="77" t="str">
        <x:v>Sim</x:v>
      </x:c>
      <x:c r="N10" s="77" t="str">
        <x:v>Não</x:v>
      </x:c>
      <x:c r="O10" s="78" t="str"/>
      <x:c r="P10" s="78" t="str"/>
      <x:c r="Q10" s="61"/>
    </x:row>
    <x:row r="11">
      <x:c r="A11" s="77" t="str">
        <x:v>EST-004</x:v>
      </x:c>
      <x:c r="B11" s="77" t="str">
        <x:v>1. Estabilização</x:v>
      </x:c>
      <x:c r="C11" s="77" t="str">
        <x:v>Carteira</x:v>
      </x:c>
      <x:c r="D11" s="77" t="str">
        <x:v>Web + Mobile</x:v>
      </x:c>
      <x:c r="E11" s="78" t="str">
        <x:v>Garantir estorno consistente</x:v>
      </x:c>
      <x:c r="F11" s="78" t="str">
        <x:v>Estornar recebimento atualiza saldo/histórico igualmente no Web e Mobile sem duplicar lançamentos.</x:v>
      </x:c>
      <x:c r="G11" s="77" t="str">
        <x:v>P0</x:v>
      </x:c>
      <x:c r="H11" s="77" t="str">
        <x:v>Não iniciado</x:v>
      </x:c>
      <x:c r="I11" s="79" t="n">
        <x:v>46260</x:v>
      </x:c>
      <x:c r="J11" s="79" t="n">
        <x:v>46261</x:v>
      </x:c>
      <x:c r="K11" s="77" t="str">
        <x:v>EST-001</x:v>
      </x:c>
      <x:c r="L11" s="77" t="str"/>
      <x:c r="M11" s="77" t="str">
        <x:v>Sim</x:v>
      </x:c>
      <x:c r="N11" s="77" t="str">
        <x:v>Não</x:v>
      </x:c>
      <x:c r="O11" s="78" t="str"/>
      <x:c r="P11" s="78" t="str"/>
      <x:c r="Q11" s="61"/>
    </x:row>
    <x:row r="12">
      <x:c r="A12" s="77" t="str">
        <x:v>EST-005</x:v>
      </x:c>
      <x:c r="B12" s="77" t="str">
        <x:v>1. Estabilização</x:v>
      </x:c>
      <x:c r="C12" s="77" t="str">
        <x:v>Pagamentos</x:v>
      </x:c>
      <x:c r="D12" s="77" t="str">
        <x:v>Mobile</x:v>
      </x:c>
      <x:c r="E12" s="78" t="str">
        <x:v>Corrigir edição de valores em pagamento combinado</x:v>
      </x:c>
      <x:c r="F12" s="78" t="str">
        <x:v>Apagar todos os dígitos mantém TextInput montado, focado e permite digitar novo valor sem remover a forma.</x:v>
      </x:c>
      <x:c r="G12" s="77" t="str">
        <x:v>P0</x:v>
      </x:c>
      <x:c r="H12" s="77" t="str">
        <x:v>Em andamento</x:v>
      </x:c>
      <x:c r="I12" s="79" t="n">
        <x:v>46258</x:v>
      </x:c>
      <x:c r="J12" s="79" t="n">
        <x:v>46259</x:v>
      </x:c>
      <x:c r="K12" s="77" t="str"/>
      <x:c r="L12" s="77" t="str"/>
      <x:c r="M12" s="77" t="str">
        <x:v>Sim</x:v>
      </x:c>
      <x:c r="N12" s="77" t="str">
        <x:v>Não</x:v>
      </x:c>
      <x:c r="O12" s="78" t="str"/>
      <x:c r="P12" s="78" t="str"/>
      <x:c r="Q12" s="61"/>
    </x:row>
    <x:row r="13">
      <x:c r="A13" s="77" t="str">
        <x:v>EST-006</x:v>
      </x:c>
      <x:c r="B13" s="77" t="str">
        <x:v>1. Estabilização</x:v>
      </x:c>
      <x:c r="C13" s="77" t="str">
        <x:v>Pagamentos</x:v>
      </x:c>
      <x:c r="D13" s="77" t="str">
        <x:v>Mobile</x:v>
      </x:c>
      <x:c r="E13" s="78" t="str">
        <x:v>Separar valor textual do valor numérico durante digitação</x:v>
      </x:c>
      <x:c r="F13" s="78" t="str">
        <x:v>Campo aceita vazio/0/0, durante edição; conversão numérica ocorre sem desmontar componente.</x:v>
      </x:c>
      <x:c r="G13" s="77" t="str">
        <x:v>P0</x:v>
      </x:c>
      <x:c r="H13" s="77" t="str">
        <x:v>Não iniciado</x:v>
      </x:c>
      <x:c r="I13" s="79" t="n">
        <x:v>46258</x:v>
      </x:c>
      <x:c r="J13" s="79" t="n">
        <x:v>46259</x:v>
      </x:c>
      <x:c r="K13" s="77" t="str">
        <x:v>EST-005</x:v>
      </x:c>
      <x:c r="L13" s="77" t="str"/>
      <x:c r="M13" s="77" t="str">
        <x:v>Sim</x:v>
      </x:c>
      <x:c r="N13" s="77" t="str">
        <x:v>Não</x:v>
      </x:c>
      <x:c r="O13" s="78" t="str"/>
      <x:c r="P13" s="78" t="str"/>
      <x:c r="Q13" s="61"/>
    </x:row>
    <x:row r="14">
      <x:c r="A14" s="77" t="str">
        <x:v>EST-007</x:v>
      </x:c>
      <x:c r="B14" s="77" t="str">
        <x:v>1. Estabilização</x:v>
      </x:c>
      <x:c r="C14" s="77" t="str">
        <x:v>Pagamentos</x:v>
      </x:c>
      <x:c r="D14" s="77" t="str">
        <x:v>Mobile</x:v>
      </x:c>
      <x:c r="E14" s="78" t="str">
        <x:v>Testar combinação de 2 e 3 formas de pagamento</x:v>
      </x:c>
      <x:c r="F14" s="78" t="str">
        <x:v>Dinheiro + PIX; dinheiro + cartão; PIX + cartão; três formas; valores editáveis e soma correta.</x:v>
      </x:c>
      <x:c r="G14" s="77" t="str">
        <x:v>P0</x:v>
      </x:c>
      <x:c r="H14" s="77" t="str">
        <x:v>Não iniciado</x:v>
      </x:c>
      <x:c r="I14" s="79" t="n">
        <x:v>46259</x:v>
      </x:c>
      <x:c r="J14" s="79" t="n">
        <x:v>46260</x:v>
      </x:c>
      <x:c r="K14" s="77" t="str">
        <x:v>EST-005</x:v>
      </x:c>
      <x:c r="L14" s="77" t="str"/>
      <x:c r="M14" s="77" t="str">
        <x:v>Sim</x:v>
      </x:c>
      <x:c r="N14" s="77" t="str">
        <x:v>Não</x:v>
      </x:c>
      <x:c r="O14" s="78" t="str"/>
      <x:c r="P14" s="78" t="str"/>
      <x:c r="Q14" s="61"/>
    </x:row>
    <x:row r="15">
      <x:c r="A15" s="77" t="str">
        <x:v>EST-008</x:v>
      </x:c>
      <x:c r="B15" s="77" t="str">
        <x:v>1. Estabilização</x:v>
      </x:c>
      <x:c r="C15" s="77" t="str">
        <x:v>PDV</x:v>
      </x:c>
      <x:c r="D15" s="77" t="str">
        <x:v>Mobile</x:v>
      </x:c>
      <x:c r="E15" s="78" t="str">
        <x:v>Validar finalização com expo-crypto/idempotência</x:v>
      </x:c>
      <x:c r="F15" s="78" t="str">
        <x:v>Venda finaliza no Expo Go sem erro de crypto e mantém mesma idempotencyKey em retry ambíguo.</x:v>
      </x:c>
      <x:c r="G15" s="77" t="str">
        <x:v>P0</x:v>
      </x:c>
      <x:c r="H15" s="77" t="str">
        <x:v>Concluído</x:v>
      </x:c>
      <x:c r="I15" s="79" t="n">
        <x:v>46257</x:v>
      </x:c>
      <x:c r="J15" s="79" t="n">
        <x:v>46257</x:v>
      </x:c>
      <x:c r="K15" s="77" t="str"/>
      <x:c r="L15" s="77" t="str"/>
      <x:c r="M15" s="77" t="str">
        <x:v>Sim</x:v>
      </x:c>
      <x:c r="N15" s="77" t="str">
        <x:v>Não</x:v>
      </x:c>
      <x:c r="O15" s="78" t="str">
        <x:v>Teste tsc/lint + testes idempotência</x:v>
      </x:c>
      <x:c r="P15" s="78" t="str"/>
      <x:c r="Q15" s="61"/>
    </x:row>
    <x:row r="16">
      <x:c r="A16" s="77" t="str">
        <x:v>EST-009</x:v>
      </x:c>
      <x:c r="B16" s="77" t="str">
        <x:v>1. Estabilização</x:v>
      </x:c>
      <x:c r="C16" s="77" t="str">
        <x:v>Recibo</x:v>
      </x:c>
      <x:c r="D16" s="77" t="str">
        <x:v>Mobile</x:v>
      </x:c>
      <x:c r="E16" s="78" t="str">
        <x:v>Compartilhar recibo na tela de venda concluída</x:v>
      </x:c>
      <x:c r="F16" s="78" t="str">
        <x:v>PDF comercial do backend abre share sheet nativo sem reprocessar a venda.</x:v>
      </x:c>
      <x:c r="G16" s="77" t="str">
        <x:v>P1</x:v>
      </x:c>
      <x:c r="H16" s="77" t="str">
        <x:v>Concluído</x:v>
      </x:c>
      <x:c r="I16" s="79" t="n">
        <x:v>46257</x:v>
      </x:c>
      <x:c r="J16" s="79" t="n">
        <x:v>46257</x:v>
      </x:c>
      <x:c r="K16" s="77" t="str"/>
      <x:c r="L16" s="77" t="str"/>
      <x:c r="M16" s="77" t="str">
        <x:v>Sim</x:v>
      </x:c>
      <x:c r="N16" s="77" t="str">
        <x:v>Não</x:v>
      </x:c>
      <x:c r="O16" s="78" t="str">
        <x:v>Implementado e testado</x:v>
      </x:c>
      <x:c r="P16" s="78" t="str"/>
      <x:c r="Q16" s="61"/>
    </x:row>
    <x:row r="17">
      <x:c r="A17" s="77" t="str">
        <x:v>EST-010</x:v>
      </x:c>
      <x:c r="B17" s="77" t="str">
        <x:v>1. Estabilização</x:v>
      </x:c>
      <x:c r="C17" s="77" t="str">
        <x:v>Recibo</x:v>
      </x:c>
      <x:c r="D17" s="77" t="str">
        <x:v>Web + Mobile</x:v>
      </x:c>
      <x:c r="E17" s="78" t="str">
        <x:v>Autenticação Bearer do recibo no Expo Go</x:v>
      </x:c>
      <x:c r="F17" s="78" t="str">
        <x:v>GET do recibo aceita Bearer válido, mantém rota protegida e isolamento por empresa.</x:v>
      </x:c>
      <x:c r="G17" s="77" t="str">
        <x:v>P0</x:v>
      </x:c>
      <x:c r="H17" s="77" t="str">
        <x:v>Concluído</x:v>
      </x:c>
      <x:c r="I17" s="79" t="n">
        <x:v>46257</x:v>
      </x:c>
      <x:c r="J17" s="79" t="n">
        <x:v>46257</x:v>
      </x:c>
      <x:c r="K17" s="77" t="str">
        <x:v>EST-009</x:v>
      </x:c>
      <x:c r="L17" s="77" t="str"/>
      <x:c r="M17" s="77" t="str">
        <x:v>Sim</x:v>
      </x:c>
      <x:c r="N17" s="77" t="str">
        <x:v>Não</x:v>
      </x:c>
      <x:c r="O17" s="78" t="str">
        <x:v>Usuário confirmou finalizado</x:v>
      </x:c>
      <x:c r="P17" s="78" t="str"/>
      <x:c r="Q17" s="61"/>
    </x:row>
    <x:row r="18">
      <x:c r="A18" s="77" t="str">
        <x:v>EST-011</x:v>
      </x:c>
      <x:c r="B18" s="77" t="str">
        <x:v>1. Estabilização</x:v>
      </x:c>
      <x:c r="C18" s="77" t="str">
        <x:v>Vendas</x:v>
      </x:c>
      <x:c r="D18" s="77" t="str">
        <x:v>Mobile</x:v>
      </x:c>
      <x:c r="E18" s="78" t="str">
        <x:v>Vendas como tela inicial autenticada</x:v>
      </x:c>
      <x:c r="F18" s="78" t="str">
        <x:v>Após login o app abre em Vendas e mantém a aba Vendas selecionada.</x:v>
      </x:c>
      <x:c r="G18" s="77" t="str">
        <x:v>P1</x:v>
      </x:c>
      <x:c r="H18" s="77" t="str">
        <x:v>Concluído</x:v>
      </x:c>
      <x:c r="I18" s="79" t="n">
        <x:v>46257</x:v>
      </x:c>
      <x:c r="J18" s="79" t="n">
        <x:v>46257</x:v>
      </x:c>
      <x:c r="K18" s="77" t="str"/>
      <x:c r="L18" s="77" t="str"/>
      <x:c r="M18" s="77" t="str">
        <x:v>Sim</x:v>
      </x:c>
      <x:c r="N18" s="77" t="str">
        <x:v>Não</x:v>
      </x:c>
      <x:c r="O18" s="78" t="str">
        <x:v>5/5 testes informados</x:v>
      </x:c>
      <x:c r="P18" s="78" t="str"/>
      <x:c r="Q18" s="61"/>
    </x:row>
    <x:row r="19">
      <x:c r="A19" s="77" t="str">
        <x:v>EST-012</x:v>
      </x:c>
      <x:c r="B19" s="77" t="str">
        <x:v>1. Estabilização</x:v>
      </x:c>
      <x:c r="C19" s="77" t="str">
        <x:v>Vendas</x:v>
      </x:c>
      <x:c r="D19" s="77" t="str">
        <x:v>Mobile</x:v>
      </x:c>
      <x:c r="E19" s="78" t="str">
        <x:v>Filtro de período Hoje/Ontem/7d/30d/3m/6m</x:v>
      </x:c>
      <x:c r="F19" s="78" t="str">
        <x:v>Período altera lista e total; timezone America/Sao_Paulo; padrão Hoje.</x:v>
      </x:c>
      <x:c r="G19" s="77" t="str">
        <x:v>P1</x:v>
      </x:c>
      <x:c r="H19" s="77" t="str">
        <x:v>Concluído</x:v>
      </x:c>
      <x:c r="I19" s="79" t="n">
        <x:v>46257</x:v>
      </x:c>
      <x:c r="J19" s="79" t="n">
        <x:v>46257</x:v>
      </x:c>
      <x:c r="K19" s="77" t="str">
        <x:v>EST-011</x:v>
      </x:c>
      <x:c r="L19" s="77" t="str"/>
      <x:c r="M19" s="77" t="str">
        <x:v>Sim</x:v>
      </x:c>
      <x:c r="N19" s="77" t="str">
        <x:v>Não</x:v>
      </x:c>
      <x:c r="O19" s="78" t="str">
        <x:v>5/5 testes informados</x:v>
      </x:c>
      <x:c r="P19" s="78" t="str"/>
      <x:c r="Q19" s="61"/>
    </x:row>
    <x:row r="20">
      <x:c r="A20" s="77" t="str">
        <x:v>EST-013</x:v>
      </x:c>
      <x:c r="B20" s="77" t="str">
        <x:v>1. Estabilização</x:v>
      </x:c>
      <x:c r="C20" s="77" t="str">
        <x:v>API mobile</x:v>
      </x:c>
      <x:c r="D20" s="77" t="str">
        <x:v>Mobile</x:v>
      </x:c>
      <x:c r="E20" s="78" t="str">
        <x:v>Padronizar URL da API em uma única variável</x:v>
      </x:c>
      <x:c r="F20" s="78" t="str">
        <x:v>Código usa uma única variável documentada; não existem URLs localhost fixas em código de produção.</x:v>
      </x:c>
      <x:c r="G20" s="77" t="str">
        <x:v>P1</x:v>
      </x:c>
      <x:c r="H20" s="77" t="str">
        <x:v>Não iniciado</x:v>
      </x:c>
      <x:c r="I20" s="79" t="n">
        <x:v>46260</x:v>
      </x:c>
      <x:c r="J20" s="79" t="n">
        <x:v>46261</x:v>
      </x:c>
      <x:c r="K20" s="77" t="str"/>
      <x:c r="L20" s="77" t="str"/>
      <x:c r="M20" s="77" t="str">
        <x:v>Sim</x:v>
      </x:c>
      <x:c r="N20" s="77" t="str">
        <x:v>Não</x:v>
      </x:c>
      <x:c r="O20" s="78" t="str"/>
      <x:c r="P20" s="78" t="str"/>
      <x:c r="Q20" s="61"/>
    </x:row>
    <x:row r="21">
      <x:c r="A21" s="77" t="str">
        <x:v>EST-014</x:v>
      </x:c>
      <x:c r="B21" s="77" t="str">
        <x:v>1. Estabilização</x:v>
      </x:c>
      <x:c r="C21" s="77" t="str">
        <x:v>Autenticação</x:v>
      </x:c>
      <x:c r="D21" s="77" t="str">
        <x:v>Mobile</x:v>
      </x:c>
      <x:c r="E21" s="78" t="str">
        <x:v>Validar sessão persistente e refresh token</x:v>
      </x:c>
      <x:c r="F21" s="78" t="str">
        <x:v>Fechar/reabrir app mantém sessão válida; sessão expirada volta ao login de forma controlada.</x:v>
      </x:c>
      <x:c r="G21" s="77" t="str">
        <x:v>P0</x:v>
      </x:c>
      <x:c r="H21" s="77" t="str">
        <x:v>Não iniciado</x:v>
      </x:c>
      <x:c r="I21" s="79" t="n">
        <x:v>46260</x:v>
      </x:c>
      <x:c r="J21" s="79" t="n">
        <x:v>46261</x:v>
      </x:c>
      <x:c r="K21" s="77" t="str"/>
      <x:c r="L21" s="77" t="str"/>
      <x:c r="M21" s="77" t="str">
        <x:v>Sim</x:v>
      </x:c>
      <x:c r="N21" s="77" t="str">
        <x:v>Não</x:v>
      </x:c>
      <x:c r="O21" s="78" t="str"/>
      <x:c r="P21" s="78" t="str"/>
      <x:c r="Q21" s="61"/>
    </x:row>
    <x:row r="22">
      <x:c r="A22" s="77" t="str">
        <x:v>EST-015</x:v>
      </x:c>
      <x:c r="B22" s="77" t="str">
        <x:v>1. Estabilização</x:v>
      </x:c>
      <x:c r="C22" s="77" t="str">
        <x:v>Multiempresa</x:v>
      </x:c>
      <x:c r="D22" s="77" t="str">
        <x:v>Web + Mobile</x:v>
      </x:c>
      <x:c r="E22" s="78" t="str">
        <x:v>Auditoria rápida de empresa ativa nas rotas críticas</x:v>
      </x:c>
      <x:c r="F22" s="78" t="str">
        <x:v>PDV, Vendas, Produtos, Clientes, Carteira e Fiscal não aceitam vazamento entre empresas.</x:v>
      </x:c>
      <x:c r="G22" s="77" t="str">
        <x:v>P0</x:v>
      </x:c>
      <x:c r="H22" s="77" t="str">
        <x:v>Não iniciado</x:v>
      </x:c>
      <x:c r="I22" s="79" t="n">
        <x:v>46261</x:v>
      </x:c>
      <x:c r="J22" s="79" t="n">
        <x:v>46263</x:v>
      </x:c>
      <x:c r="K22" s="77" t="str"/>
      <x:c r="L22" s="77" t="str"/>
      <x:c r="M22" s="77" t="str">
        <x:v>Sim</x:v>
      </x:c>
      <x:c r="N22" s="77" t="str">
        <x:v>Não</x:v>
      </x:c>
      <x:c r="O22" s="78" t="str"/>
      <x:c r="P22" s="78" t="str"/>
      <x:c r="Q22" s="61"/>
    </x:row>
    <x:row r="23">
      <x:c r="A23" s="77" t="str">
        <x:v>EST-016</x:v>
      </x:c>
      <x:c r="B23" s="77" t="str">
        <x:v>1. Estabilização</x:v>
      </x:c>
      <x:c r="C23" s="77" t="str">
        <x:v>Multiempresa</x:v>
      </x:c>
      <x:c r="D23" s="77" t="str">
        <x:v>Web + Mobile</x:v>
      </x:c>
      <x:c r="E23" s="78" t="str">
        <x:v>Teste prático com duas empresas</x:v>
      </x:c>
      <x:c r="F23" s="78" t="str">
        <x:v>Usuário alterna contexto e não vê produtos/clientes/vendas/carteira/configuração da outra empresa.</x:v>
      </x:c>
      <x:c r="G23" s="77" t="str">
        <x:v>P0</x:v>
      </x:c>
      <x:c r="H23" s="77" t="str">
        <x:v>Não iniciado</x:v>
      </x:c>
      <x:c r="I23" s="79" t="n">
        <x:v>46263</x:v>
      </x:c>
      <x:c r="J23" s="79" t="n">
        <x:v>46264</x:v>
      </x:c>
      <x:c r="K23" s="77" t="str">
        <x:v>EST-015</x:v>
      </x:c>
      <x:c r="L23" s="77" t="str"/>
      <x:c r="M23" s="77" t="str">
        <x:v>Sim</x:v>
      </x:c>
      <x:c r="N23" s="77" t="str">
        <x:v>Não</x:v>
      </x:c>
      <x:c r="O23" s="78" t="str"/>
      <x:c r="P23" s="78" t="str"/>
      <x:c r="Q23" s="61"/>
    </x:row>
    <x:row r="24">
      <x:c r="A24" s="77" t="str">
        <x:v>EST-017</x:v>
      </x:c>
      <x:c r="B24" s="77" t="str">
        <x:v>1. Estabilização</x:v>
      </x:c>
      <x:c r="C24" s="77" t="str">
        <x:v>Erros</x:v>
      </x:c>
      <x:c r="D24" s="77" t="str">
        <x:v>Web + Mobile</x:v>
      </x:c>
      <x:c r="E24" s="78" t="str">
        <x:v>Eliminar erros Uncaught/Unhandled Promise nas telas críticas</x:v>
      </x:c>
      <x:c r="F24" s="78" t="str">
        <x:v>Fluxos críticos não exibem erro JS não tratado em Web/Expo.</x:v>
      </x:c>
      <x:c r="G24" s="77" t="str">
        <x:v>P0</x:v>
      </x:c>
      <x:c r="H24" s="77" t="str">
        <x:v>Não iniciado</x:v>
      </x:c>
      <x:c r="I24" s="79" t="n">
        <x:v>46261</x:v>
      </x:c>
      <x:c r="J24" s="79" t="n">
        <x:v>46264</x:v>
      </x:c>
      <x:c r="K24" s="77" t="str"/>
      <x:c r="L24" s="77" t="str"/>
      <x:c r="M24" s="77" t="str">
        <x:v>Sim</x:v>
      </x:c>
      <x:c r="N24" s="77" t="str">
        <x:v>Não</x:v>
      </x:c>
      <x:c r="O24" s="78" t="str"/>
      <x:c r="P24" s="78" t="str"/>
      <x:c r="Q24" s="61"/>
    </x:row>
    <x:row r="25">
      <x:c r="A25" s="77" t="str">
        <x:v>EST-018</x:v>
      </x:c>
      <x:c r="B25" s="77" t="str">
        <x:v>1. Estabilização</x:v>
      </x:c>
      <x:c r="C25" s="77" t="str">
        <x:v>Regressão</x:v>
      </x:c>
      <x:c r="D25" s="77" t="str">
        <x:v>Web + Mobile</x:v>
      </x:c>
      <x:c r="E25" s="78" t="str">
        <x:v>Rodar tsc, lint e testes críticos ao final da semana</x:v>
      </x:c>
      <x:c r="F25" s="78" t="str">
        <x:v>Todos os comandos passam e resultados ficam registrados na coluna Evidência.</x:v>
      </x:c>
      <x:c r="G25" s="77" t="str">
        <x:v>P0</x:v>
      </x:c>
      <x:c r="H25" s="77" t="str">
        <x:v>Não iniciado</x:v>
      </x:c>
      <x:c r="I25" s="79" t="n">
        <x:v>46264</x:v>
      </x:c>
      <x:c r="J25" s="79" t="n">
        <x:v>46264</x:v>
      </x:c>
      <x:c r="K25" s="77" t="str"/>
      <x:c r="L25" s="77" t="str"/>
      <x:c r="M25" s="77" t="str">
        <x:v>Sim</x:v>
      </x:c>
      <x:c r="N25" s="77" t="str">
        <x:v>Não</x:v>
      </x:c>
      <x:c r="O25" s="78" t="str"/>
      <x:c r="P25" s="78" t="str"/>
      <x:c r="Q25" s="61"/>
    </x:row>
    <x:row r="26">
      <x:c r="A26" s="77" t="str">
        <x:v>COM-001</x:v>
      </x:c>
      <x:c r="B26" s="77" t="str">
        <x:v>2. Comercial</x:v>
      </x:c>
      <x:c r="C26" s="77" t="str">
        <x:v>Produtos</x:v>
      </x:c>
      <x:c r="D26" s="77" t="str">
        <x:v>Web + Mobile</x:v>
      </x:c>
      <x:c r="E26" s="78" t="str">
        <x:v>Cadastrar produto sem categoria, marca ou grupo fiscal obrigatórios</x:v>
      </x:c>
      <x:c r="F26" s="78" t="str">
        <x:v>Produto salva apenas com campos realmente obrigatórios; opcionais podem ficar vazios.</x:v>
      </x:c>
      <x:c r="G26" s="77" t="str">
        <x:v>P0</x:v>
      </x:c>
      <x:c r="H26" s="77" t="str">
        <x:v>Não iniciado</x:v>
      </x:c>
      <x:c r="I26" s="79" t="n">
        <x:v>46265</x:v>
      </x:c>
      <x:c r="J26" s="79" t="n">
        <x:v>46265</x:v>
      </x:c>
      <x:c r="K26" s="77" t="str"/>
      <x:c r="L26" s="77" t="str"/>
      <x:c r="M26" s="77" t="str">
        <x:v>Sim</x:v>
      </x:c>
      <x:c r="N26" s="77" t="str">
        <x:v>Não</x:v>
      </x:c>
      <x:c r="O26" s="78" t="str"/>
      <x:c r="P26" s="78" t="str"/>
      <x:c r="Q26" s="61"/>
    </x:row>
    <x:row r="27">
      <x:c r="A27" s="77" t="str">
        <x:v>COM-002</x:v>
      </x:c>
      <x:c r="B27" s="77" t="str">
        <x:v>2. Comercial</x:v>
      </x:c>
      <x:c r="C27" s="77" t="str">
        <x:v>Produtos</x:v>
      </x:c>
      <x:c r="D27" s="77" t="str">
        <x:v>Web</x:v>
      </x:c>
      <x:c r="E27" s="78" t="str">
        <x:v>Código automático de produto</x:v>
      </x:c>
      <x:c r="F27" s="78" t="str">
        <x:v>Checkbox gera código único e previsível sem colisão na empresa ativa.</x:v>
      </x:c>
      <x:c r="G27" s="77" t="str">
        <x:v>P1</x:v>
      </x:c>
      <x:c r="H27" s="77" t="str">
        <x:v>Não iniciado</x:v>
      </x:c>
      <x:c r="I27" s="79" t="n">
        <x:v>46265</x:v>
      </x:c>
      <x:c r="J27" s="79" t="n">
        <x:v>46266</x:v>
      </x:c>
      <x:c r="K27" s="77" t="str"/>
      <x:c r="L27" s="77" t="str"/>
      <x:c r="M27" s="77" t="str">
        <x:v>Sim</x:v>
      </x:c>
      <x:c r="N27" s="77" t="str">
        <x:v>Não</x:v>
      </x:c>
      <x:c r="O27" s="78" t="str"/>
      <x:c r="P27" s="78" t="str"/>
      <x:c r="Q27" s="61"/>
    </x:row>
    <x:row r="28">
      <x:c r="A28" s="77" t="str">
        <x:v>COM-003</x:v>
      </x:c>
      <x:c r="B28" s="77" t="str">
        <x:v>2. Comercial</x:v>
      </x:c>
      <x:c r="C28" s="77" t="str">
        <x:v>Produtos</x:v>
      </x:c>
      <x:c r="D28" s="77" t="str">
        <x:v>Web + Mobile</x:v>
      </x:c>
      <x:c r="E28" s="78" t="str">
        <x:v>Produto ativo/inativo completo</x:v>
      </x:c>
      <x:c r="F28" s="78" t="str">
        <x:v>Criar/editar switch; filtros; inativar/reativar; produto inativo não entra no PDV/catalogo.</x:v>
      </x:c>
      <x:c r="G28" s="77" t="str">
        <x:v>P0</x:v>
      </x:c>
      <x:c r="H28" s="77" t="str">
        <x:v>Em validação</x:v>
      </x:c>
      <x:c r="I28" s="79" t="n">
        <x:v>46265</x:v>
      </x:c>
      <x:c r="J28" s="79" t="n">
        <x:v>46266</x:v>
      </x:c>
      <x:c r="K28" s="77" t="str"/>
      <x:c r="L28" s="77" t="str"/>
      <x:c r="M28" s="77" t="str">
        <x:v>Sim</x:v>
      </x:c>
      <x:c r="N28" s="77" t="str">
        <x:v>Não</x:v>
      </x:c>
      <x:c r="O28" s="78" t="str"/>
      <x:c r="P28" s="78" t="str"/>
      <x:c r="Q28" s="61"/>
    </x:row>
    <x:row r="29">
      <x:c r="A29" s="77" t="str">
        <x:v>COM-004</x:v>
      </x:c>
      <x:c r="B29" s="77" t="str">
        <x:v>2. Comercial</x:v>
      </x:c>
      <x:c r="C29" s="77" t="str">
        <x:v>Produtos</x:v>
      </x:c>
      <x:c r="D29" s="77" t="str">
        <x:v>Web + Mobile</x:v>
      </x:c>
      <x:c r="E29" s="78" t="str">
        <x:v>Salvar corretamente dados fiscais vinculados ao produto</x:v>
      </x:c>
      <x:c r="F29" s="78" t="str">
        <x:v>NCM/CEST/origem/grupo fiscal persistem e recarregam sem perda.</x:v>
      </x:c>
      <x:c r="G29" s="77" t="str">
        <x:v>P0</x:v>
      </x:c>
      <x:c r="H29" s="77" t="str">
        <x:v>Não iniciado</x:v>
      </x:c>
      <x:c r="I29" s="79" t="n">
        <x:v>46266</x:v>
      </x:c>
      <x:c r="J29" s="79" t="n">
        <x:v>46267</x:v>
      </x:c>
      <x:c r="K29" s="77" t="str"/>
      <x:c r="L29" s="77" t="str"/>
      <x:c r="M29" s="77" t="str">
        <x:v>Sim</x:v>
      </x:c>
      <x:c r="N29" s="77" t="str">
        <x:v>Não</x:v>
      </x:c>
      <x:c r="O29" s="78" t="str"/>
      <x:c r="P29" s="78" t="str"/>
      <x:c r="Q29" s="61"/>
    </x:row>
    <x:row r="30">
      <x:c r="A30" s="77" t="str">
        <x:v>COM-005</x:v>
      </x:c>
      <x:c r="B30" s="77" t="str">
        <x:v>2. Comercial</x:v>
      </x:c>
      <x:c r="C30" s="77" t="str">
        <x:v>Produtos</x:v>
      </x:c>
      <x:c r="D30" s="77" t="str">
        <x:v>Mobile</x:v>
      </x:c>
      <x:c r="E30" s="78" t="str">
        <x:v>Editar produto e foto no iPhone</x:v>
      </x:c>
      <x:c r="F30" s="78" t="str">
        <x:v>Tela abre, edita, salva e reabre dados/foto sem erro; estoque permanece somente leitura.</x:v>
      </x:c>
      <x:c r="G30" s="77" t="str">
        <x:v>P1</x:v>
      </x:c>
      <x:c r="H30" s="77" t="str">
        <x:v>Em validação</x:v>
      </x:c>
      <x:c r="I30" s="79" t="n">
        <x:v>46266</x:v>
      </x:c>
      <x:c r="J30" s="79" t="n">
        <x:v>46267</x:v>
      </x:c>
      <x:c r="K30" s="77" t="str"/>
      <x:c r="L30" s="77" t="str"/>
      <x:c r="M30" s="77" t="str">
        <x:v>Sim</x:v>
      </x:c>
      <x:c r="N30" s="77" t="str">
        <x:v>Não</x:v>
      </x:c>
      <x:c r="O30" s="78" t="str"/>
      <x:c r="P30" s="78" t="str"/>
      <x:c r="Q30" s="61"/>
    </x:row>
    <x:row r="31">
      <x:c r="A31" s="77" t="str">
        <x:v>COM-006</x:v>
      </x:c>
      <x:c r="B31" s="77" t="str">
        <x:v>2. Comercial</x:v>
      </x:c>
      <x:c r="C31" s="77" t="str">
        <x:v>Clientes</x:v>
      </x:c>
      <x:c r="D31" s="77" t="str">
        <x:v>Web + Mobile</x:v>
      </x:c>
      <x:c r="E31" s="78" t="str">
        <x:v>Cadastro e edição de cliente completos</x:v>
      </x:c>
      <x:c r="F31" s="78" t="str">
        <x:v>Nome/documento/telefone/ativo e dados necessários persistem e recarregam.</x:v>
      </x:c>
      <x:c r="G31" s="77" t="str">
        <x:v>P0</x:v>
      </x:c>
      <x:c r="H31" s="77" t="str">
        <x:v>Não iniciado</x:v>
      </x:c>
      <x:c r="I31" s="79" t="n">
        <x:v>46266</x:v>
      </x:c>
      <x:c r="J31" s="79" t="n">
        <x:v>46267</x:v>
      </x:c>
      <x:c r="K31" s="77" t="str"/>
      <x:c r="L31" s="77" t="str"/>
      <x:c r="M31" s="77" t="str">
        <x:v>Sim</x:v>
      </x:c>
      <x:c r="N31" s="77" t="str">
        <x:v>Não</x:v>
      </x:c>
      <x:c r="O31" s="78" t="str"/>
      <x:c r="P31" s="78" t="str"/>
      <x:c r="Q31" s="61"/>
    </x:row>
    <x:row r="32">
      <x:c r="A32" s="77" t="str">
        <x:v>COM-007</x:v>
      </x:c>
      <x:c r="B32" s="77" t="str">
        <x:v>2. Comercial</x:v>
      </x:c>
      <x:c r="C32" s="77" t="str">
        <x:v>Clientes</x:v>
      </x:c>
      <x:c r="D32" s="77" t="str">
        <x:v>Web + Mobile</x:v>
      </x:c>
      <x:c r="E32" s="78" t="str">
        <x:v>CNPJ com máscara e suporte alfanumérico</x:v>
      </x:c>
      <x:c r="F32" s="78" t="str">
        <x:v>Entrada aceita formato previsto sem bloquear CNPJ alfanumérico.</x:v>
      </x:c>
      <x:c r="G32" s="77" t="str">
        <x:v>P1</x:v>
      </x:c>
      <x:c r="H32" s="77" t="str">
        <x:v>Não iniciado</x:v>
      </x:c>
      <x:c r="I32" s="79" t="n">
        <x:v>46267</x:v>
      </x:c>
      <x:c r="J32" s="79" t="n">
        <x:v>46267</x:v>
      </x:c>
      <x:c r="K32" s="77" t="str"/>
      <x:c r="L32" s="77" t="str"/>
      <x:c r="M32" s="77" t="str">
        <x:v>Sim</x:v>
      </x:c>
      <x:c r="N32" s="77" t="str">
        <x:v>Não</x:v>
      </x:c>
      <x:c r="O32" s="78" t="str"/>
      <x:c r="P32" s="78" t="str"/>
      <x:c r="Q32" s="61"/>
    </x:row>
    <x:row r="33">
      <x:c r="A33" s="77" t="str">
        <x:v>COM-008</x:v>
      </x:c>
      <x:c r="B33" s="77" t="str">
        <x:v>2. Comercial</x:v>
      </x:c>
      <x:c r="C33" s="77" t="str">
        <x:v>Clientes</x:v>
      </x:c>
      <x:c r="D33" s="77" t="str">
        <x:v>Web + Mobile</x:v>
      </x:c>
      <x:c r="E33" s="78" t="str">
        <x:v>Configurações de fiado por cliente</x:v>
      </x:c>
      <x:c r="F33" s="78" t="str">
        <x:v>Limite, vencimento, bloqueio de fiado e status ativo funcionam e são respeitados.</x:v>
      </x:c>
      <x:c r="G33" s="77" t="str">
        <x:v>P0</x:v>
      </x:c>
      <x:c r="H33" s="77" t="str">
        <x:v>Não iniciado</x:v>
      </x:c>
      <x:c r="I33" s="79" t="n">
        <x:v>46267</x:v>
      </x:c>
      <x:c r="J33" s="79" t="n">
        <x:v>46268</x:v>
      </x:c>
      <x:c r="K33" s="77" t="str"/>
      <x:c r="L33" s="77" t="str"/>
      <x:c r="M33" s="77" t="str">
        <x:v>Sim</x:v>
      </x:c>
      <x:c r="N33" s="77" t="str">
        <x:v>Não</x:v>
      </x:c>
      <x:c r="O33" s="78" t="str"/>
      <x:c r="P33" s="78" t="str"/>
      <x:c r="Q33" s="61"/>
    </x:row>
    <x:row r="34">
      <x:c r="A34" s="77" t="str">
        <x:v>COM-009</x:v>
      </x:c>
      <x:c r="B34" s="77" t="str">
        <x:v>2. Comercial</x:v>
      </x:c>
      <x:c r="C34" s="77" t="str">
        <x:v>PDV</x:v>
      </x:c>
      <x:c r="D34" s="77" t="str">
        <x:v>Web</x:v>
      </x:c>
      <x:c r="E34" s="78" t="str">
        <x:v>Venda simples em dinheiro</x:v>
      </x:c>
      <x:c r="F34" s="78" t="str">
        <x:v>Finaliza, grava venda/pagamento, movimenta estoque e aparece em Vendas.</x:v>
      </x:c>
      <x:c r="G34" s="77" t="str">
        <x:v>P0</x:v>
      </x:c>
      <x:c r="H34" s="77" t="str">
        <x:v>Não iniciado</x:v>
      </x:c>
      <x:c r="I34" s="79" t="n">
        <x:v>46267</x:v>
      </x:c>
      <x:c r="J34" s="79" t="n">
        <x:v>46268</x:v>
      </x:c>
      <x:c r="K34" s="77" t="str"/>
      <x:c r="L34" s="77" t="str"/>
      <x:c r="M34" s="77" t="str">
        <x:v>Sim</x:v>
      </x:c>
      <x:c r="N34" s="77" t="str">
        <x:v>Não</x:v>
      </x:c>
      <x:c r="O34" s="78" t="str"/>
      <x:c r="P34" s="78" t="str"/>
      <x:c r="Q34" s="61"/>
    </x:row>
    <x:row r="35">
      <x:c r="A35" s="77" t="str">
        <x:v>COM-010</x:v>
      </x:c>
      <x:c r="B35" s="77" t="str">
        <x:v>2. Comercial</x:v>
      </x:c>
      <x:c r="C35" s="77" t="str">
        <x:v>PDV</x:v>
      </x:c>
      <x:c r="D35" s="77" t="str">
        <x:v>Mobile</x:v>
      </x:c>
      <x:c r="E35" s="78" t="str">
        <x:v>Venda simples em dinheiro</x:v>
      </x:c>
      <x:c r="F35" s="78" t="str">
        <x:v>Mesmo resultado comercial do Web para a empresa ativa.</x:v>
      </x:c>
      <x:c r="G35" s="77" t="str">
        <x:v>P0</x:v>
      </x:c>
      <x:c r="H35" s="77" t="str">
        <x:v>Não iniciado</x:v>
      </x:c>
      <x:c r="I35" s="79" t="n">
        <x:v>46267</x:v>
      </x:c>
      <x:c r="J35" s="79" t="n">
        <x:v>46268</x:v>
      </x:c>
      <x:c r="K35" s="77" t="str"/>
      <x:c r="L35" s="77" t="str"/>
      <x:c r="M35" s="77" t="str">
        <x:v>Sim</x:v>
      </x:c>
      <x:c r="N35" s="77" t="str">
        <x:v>Não</x:v>
      </x:c>
      <x:c r="O35" s="78" t="str"/>
      <x:c r="P35" s="78" t="str"/>
      <x:c r="Q35" s="61"/>
    </x:row>
    <x:row r="36">
      <x:c r="A36" s="77" t="str">
        <x:v>COM-011</x:v>
      </x:c>
      <x:c r="B36" s="77" t="str">
        <x:v>2. Comercial</x:v>
      </x:c>
      <x:c r="C36" s="77" t="str">
        <x:v>PDV</x:v>
      </x:c>
      <x:c r="D36" s="77" t="str">
        <x:v>Web + Mobile</x:v>
      </x:c>
      <x:c r="E36" s="78" t="str">
        <x:v>Venda com PIX</x:v>
      </x:c>
      <x:c r="F36" s="78" t="str">
        <x:v>Pagamento PIX conclui sem duplicar cobrança/venda e registra forma correta.</x:v>
      </x:c>
      <x:c r="G36" s="77" t="str">
        <x:v>P0</x:v>
      </x:c>
      <x:c r="H36" s="77" t="str">
        <x:v>Não iniciado</x:v>
      </x:c>
      <x:c r="I36" s="79" t="n">
        <x:v>46268</x:v>
      </x:c>
      <x:c r="J36" s="79" t="n">
        <x:v>46268</x:v>
      </x:c>
      <x:c r="K36" s="77" t="str"/>
      <x:c r="L36" s="77" t="str"/>
      <x:c r="M36" s="77" t="str">
        <x:v>Sim</x:v>
      </x:c>
      <x:c r="N36" s="77" t="str">
        <x:v>Não</x:v>
      </x:c>
      <x:c r="O36" s="78" t="str"/>
      <x:c r="P36" s="78" t="str"/>
      <x:c r="Q36" s="61"/>
    </x:row>
    <x:row r="37">
      <x:c r="A37" s="77" t="str">
        <x:v>COM-012</x:v>
      </x:c>
      <x:c r="B37" s="77" t="str">
        <x:v>2. Comercial</x:v>
      </x:c>
      <x:c r="C37" s="77" t="str">
        <x:v>PDV</x:v>
      </x:c>
      <x:c r="D37" s="77" t="str">
        <x:v>Web + Mobile</x:v>
      </x:c>
      <x:c r="E37" s="78" t="str">
        <x:v>Venda com cartão</x:v>
      </x:c>
      <x:c r="F37" s="78" t="str">
        <x:v>Débito/crédito registram corretamente e dados fiscais exigidos são tratados.</x:v>
      </x:c>
      <x:c r="G37" s="77" t="str">
        <x:v>P0</x:v>
      </x:c>
      <x:c r="H37" s="77" t="str">
        <x:v>Não iniciado</x:v>
      </x:c>
      <x:c r="I37" s="79" t="n">
        <x:v>46268</x:v>
      </x:c>
      <x:c r="J37" s="79" t="n">
        <x:v>46269</x:v>
      </x:c>
      <x:c r="K37" s="77" t="str"/>
      <x:c r="L37" s="77" t="str"/>
      <x:c r="M37" s="77" t="str">
        <x:v>Sim</x:v>
      </x:c>
      <x:c r="N37" s="77" t="str">
        <x:v>Não</x:v>
      </x:c>
      <x:c r="O37" s="78" t="str"/>
      <x:c r="P37" s="78" t="str"/>
      <x:c r="Q37" s="61"/>
    </x:row>
    <x:row r="38">
      <x:c r="A38" s="77" t="str">
        <x:v>COM-013</x:v>
      </x:c>
      <x:c r="B38" s="77" t="str">
        <x:v>2. Comercial</x:v>
      </x:c>
      <x:c r="C38" s="77" t="str">
        <x:v>PDV</x:v>
      </x:c>
      <x:c r="D38" s="77" t="str">
        <x:v>Web + Mobile</x:v>
      </x:c>
      <x:c r="E38" s="78" t="str">
        <x:v>Venda fiado</x:v>
      </x:c>
      <x:c r="F38" s="78" t="str">
        <x:v>Venda cria obrigação na Carteira correta, movimenta estoque e aparece em Vendas.</x:v>
      </x:c>
      <x:c r="G38" s="77" t="str">
        <x:v>P0</x:v>
      </x:c>
      <x:c r="H38" s="77" t="str">
        <x:v>Não iniciado</x:v>
      </x:c>
      <x:c r="I38" s="79" t="n">
        <x:v>46268</x:v>
      </x:c>
      <x:c r="J38" s="79" t="n">
        <x:v>46269</x:v>
      </x:c>
      <x:c r="K38" s="77" t="str">
        <x:v>EST-001</x:v>
      </x:c>
      <x:c r="L38" s="77" t="str"/>
      <x:c r="M38" s="77" t="str">
        <x:v>Sim</x:v>
      </x:c>
      <x:c r="N38" s="77" t="str">
        <x:v>Não</x:v>
      </x:c>
      <x:c r="O38" s="78" t="str"/>
      <x:c r="P38" s="78" t="str"/>
      <x:c r="Q38" s="61"/>
    </x:row>
    <x:row r="39">
      <x:c r="A39" s="77" t="str">
        <x:v>COM-014</x:v>
      </x:c>
      <x:c r="B39" s="77" t="str">
        <x:v>2. Comercial</x:v>
      </x:c>
      <x:c r="C39" s="77" t="str">
        <x:v>PDV</x:v>
      </x:c>
      <x:c r="D39" s="77" t="str">
        <x:v>Web + Mobile</x:v>
      </x:c>
      <x:c r="E39" s="78" t="str">
        <x:v>Venda com pagamento combinado</x:v>
      </x:c>
      <x:c r="F39" s="78" t="str">
        <x:v>Duas ou mais formas somam exatamente o total; restante/troco/validações corretos.</x:v>
      </x:c>
      <x:c r="G39" s="77" t="str">
        <x:v>P0</x:v>
      </x:c>
      <x:c r="H39" s="77" t="str">
        <x:v>Não iniciado</x:v>
      </x:c>
      <x:c r="I39" s="79" t="n">
        <x:v>46269</x:v>
      </x:c>
      <x:c r="J39" s="79" t="n">
        <x:v>46269</x:v>
      </x:c>
      <x:c r="K39" s="77" t="str">
        <x:v>EST-005</x:v>
      </x:c>
      <x:c r="L39" s="77" t="str"/>
      <x:c r="M39" s="77" t="str">
        <x:v>Sim</x:v>
      </x:c>
      <x:c r="N39" s="77" t="str">
        <x:v>Não</x:v>
      </x:c>
      <x:c r="O39" s="78" t="str"/>
      <x:c r="P39" s="78" t="str"/>
      <x:c r="Q39" s="61"/>
    </x:row>
    <x:row r="40">
      <x:c r="A40" s="77" t="str">
        <x:v>COM-015</x:v>
      </x:c>
      <x:c r="B40" s="77" t="str">
        <x:v>2. Comercial</x:v>
      </x:c>
      <x:c r="C40" s="77" t="str">
        <x:v>PDV</x:v>
      </x:c>
      <x:c r="D40" s="77" t="str">
        <x:v>Web + Mobile</x:v>
      </x:c>
      <x:c r="E40" s="78" t="str">
        <x:v>Desconto e totalização</x:v>
      </x:c>
      <x:c r="F40" s="78" t="str">
        <x:v>Desconto permitido altera total uma única vez e mantém consistência no recibo/fiscal.</x:v>
      </x:c>
      <x:c r="G40" s="77" t="str">
        <x:v>P0</x:v>
      </x:c>
      <x:c r="H40" s="77" t="str">
        <x:v>Não iniciado</x:v>
      </x:c>
      <x:c r="I40" s="79" t="n">
        <x:v>46269</x:v>
      </x:c>
      <x:c r="J40" s="79" t="n">
        <x:v>46269</x:v>
      </x:c>
      <x:c r="K40" s="77" t="str"/>
      <x:c r="L40" s="77" t="str"/>
      <x:c r="M40" s="77" t="str">
        <x:v>Sim</x:v>
      </x:c>
      <x:c r="N40" s="77" t="str">
        <x:v>Não</x:v>
      </x:c>
      <x:c r="O40" s="78" t="str"/>
      <x:c r="P40" s="78" t="str"/>
      <x:c r="Q40" s="61"/>
    </x:row>
    <x:row r="41">
      <x:c r="A41" s="77" t="str">
        <x:v>COM-016</x:v>
      </x:c>
      <x:c r="B41" s="77" t="str">
        <x:v>2. Comercial</x:v>
      </x:c>
      <x:c r="C41" s="77" t="str">
        <x:v>PDV</x:v>
      </x:c>
      <x:c r="D41" s="77" t="str">
        <x:v>Web + Mobile</x:v>
      </x:c>
      <x:c r="E41" s="78" t="str">
        <x:v>Selecionar cliente e trocar cliente antes de finalizar</x:v>
      </x:c>
      <x:c r="F41" s="78" t="str">
        <x:v>Venda é vinculada ao cliente correto e nenhuma informação fica do cliente anterior.</x:v>
      </x:c>
      <x:c r="G41" s="77" t="str">
        <x:v>P1</x:v>
      </x:c>
      <x:c r="H41" s="77" t="str">
        <x:v>Não iniciado</x:v>
      </x:c>
      <x:c r="I41" s="79" t="n">
        <x:v>46269</x:v>
      </x:c>
      <x:c r="J41" s="79" t="n">
        <x:v>46270</x:v>
      </x:c>
      <x:c r="K41" s="77" t="str"/>
      <x:c r="L41" s="77" t="str"/>
      <x:c r="M41" s="77" t="str">
        <x:v>Sim</x:v>
      </x:c>
      <x:c r="N41" s="77" t="str">
        <x:v>Não</x:v>
      </x:c>
      <x:c r="O41" s="78" t="str"/>
      <x:c r="P41" s="78" t="str"/>
      <x:c r="Q41" s="61"/>
    </x:row>
    <x:row r="42">
      <x:c r="A42" s="77" t="str">
        <x:v>COM-017</x:v>
      </x:c>
      <x:c r="B42" s="77" t="str">
        <x:v>2. Comercial</x:v>
      </x:c>
      <x:c r="C42" s="77" t="str">
        <x:v>Estoque</x:v>
      </x:c>
      <x:c r="D42" s="77" t="str">
        <x:v>Web + Mobile</x:v>
      </x:c>
      <x:c r="E42" s="78" t="str">
        <x:v>Baixa de estoque na venda</x:v>
      </x:c>
      <x:c r="F42" s="78" t="str">
        <x:v>Quantidade cai uma única vez na filial correta e nunca em outra empresa.</x:v>
      </x:c>
      <x:c r="G42" s="77" t="str">
        <x:v>P0</x:v>
      </x:c>
      <x:c r="H42" s="77" t="str">
        <x:v>Não iniciado</x:v>
      </x:c>
      <x:c r="I42" s="79" t="n">
        <x:v>46269</x:v>
      </x:c>
      <x:c r="J42" s="79" t="n">
        <x:v>46270</x:v>
      </x:c>
      <x:c r="K42" s="77" t="str"/>
      <x:c r="L42" s="77" t="str"/>
      <x:c r="M42" s="77" t="str">
        <x:v>Sim</x:v>
      </x:c>
      <x:c r="N42" s="77" t="str">
        <x:v>Não</x:v>
      </x:c>
      <x:c r="O42" s="78" t="str"/>
      <x:c r="P42" s="78" t="str"/>
      <x:c r="Q42" s="61"/>
    </x:row>
    <x:row r="43">
      <x:c r="A43" s="77" t="str">
        <x:v>COM-018</x:v>
      </x:c>
      <x:c r="B43" s="77" t="str">
        <x:v>2. Comercial</x:v>
      </x:c>
      <x:c r="C43" s="77" t="str">
        <x:v>Estoque</x:v>
      </x:c>
      <x:c r="D43" s="77" t="str">
        <x:v>Web + Mobile</x:v>
      </x:c>
      <x:c r="E43" s="78" t="str">
        <x:v>Estorno/reposição de estoque em cancelamento comercial</x:v>
      </x:c>
      <x:c r="F43" s="78" t="str">
        <x:v>Cancelamento elegível devolve estoque exatamente uma vez.</x:v>
      </x:c>
      <x:c r="G43" s="77" t="str">
        <x:v>P0</x:v>
      </x:c>
      <x:c r="H43" s="77" t="str">
        <x:v>Não iniciado</x:v>
      </x:c>
      <x:c r="I43" s="79" t="n">
        <x:v>46270</x:v>
      </x:c>
      <x:c r="J43" s="79" t="n">
        <x:v>46270</x:v>
      </x:c>
      <x:c r="K43" s="77" t="str"/>
      <x:c r="L43" s="77" t="str"/>
      <x:c r="M43" s="77" t="str">
        <x:v>Sim</x:v>
      </x:c>
      <x:c r="N43" s="77" t="str">
        <x:v>Não</x:v>
      </x:c>
      <x:c r="O43" s="78" t="str"/>
      <x:c r="P43" s="78" t="str"/>
      <x:c r="Q43" s="61"/>
    </x:row>
    <x:row r="44">
      <x:c r="A44" s="77" t="str">
        <x:v>COM-019</x:v>
      </x:c>
      <x:c r="B44" s="77" t="str">
        <x:v>2. Comercial</x:v>
      </x:c>
      <x:c r="C44" s="77" t="str">
        <x:v>Carteira</x:v>
      </x:c>
      <x:c r="D44" s="77" t="str">
        <x:v>Web + Mobile</x:v>
      </x:c>
      <x:c r="E44" s="78" t="str">
        <x:v>Baixa total</x:v>
      </x:c>
      <x:c r="F44" s="78" t="str">
        <x:v>Quita títulos/itens selecionados e saldo final fica correto.</x:v>
      </x:c>
      <x:c r="G44" s="77" t="str">
        <x:v>P0</x:v>
      </x:c>
      <x:c r="H44" s="77" t="str">
        <x:v>Não iniciado</x:v>
      </x:c>
      <x:c r="I44" s="79" t="n">
        <x:v>46269</x:v>
      </x:c>
      <x:c r="J44" s="79" t="n">
        <x:v>46270</x:v>
      </x:c>
      <x:c r="K44" s="77" t="str">
        <x:v>EST-001</x:v>
      </x:c>
      <x:c r="L44" s="77" t="str"/>
      <x:c r="M44" s="77" t="str">
        <x:v>Sim</x:v>
      </x:c>
      <x:c r="N44" s="77" t="str">
        <x:v>Não</x:v>
      </x:c>
      <x:c r="O44" s="78" t="str"/>
      <x:c r="P44" s="78" t="str"/>
      <x:c r="Q44" s="61"/>
    </x:row>
    <x:row r="45">
      <x:c r="A45" s="77" t="str">
        <x:v>COM-020</x:v>
      </x:c>
      <x:c r="B45" s="77" t="str">
        <x:v>2. Comercial</x:v>
      </x:c>
      <x:c r="C45" s="77" t="str">
        <x:v>Carteira</x:v>
      </x:c>
      <x:c r="D45" s="77" t="str">
        <x:v>Web + Mobile</x:v>
      </x:c>
      <x:c r="E45" s="78" t="str">
        <x:v>Baixa parcial</x:v>
      </x:c>
      <x:c r="F45" s="78" t="str">
        <x:v>Registra recebimento parcial e mantém somente saldo restante em aberto.</x:v>
      </x:c>
      <x:c r="G45" s="77" t="str">
        <x:v>P0</x:v>
      </x:c>
      <x:c r="H45" s="77" t="str">
        <x:v>Não iniciado</x:v>
      </x:c>
      <x:c r="I45" s="79" t="n">
        <x:v>46269</x:v>
      </x:c>
      <x:c r="J45" s="79" t="n">
        <x:v>46270</x:v>
      </x:c>
      <x:c r="K45" s="77" t="str">
        <x:v>EST-001</x:v>
      </x:c>
      <x:c r="L45" s="77" t="str"/>
      <x:c r="M45" s="77" t="str">
        <x:v>Sim</x:v>
      </x:c>
      <x:c r="N45" s="77" t="str">
        <x:v>Não</x:v>
      </x:c>
      <x:c r="O45" s="78" t="str"/>
      <x:c r="P45" s="78" t="str"/>
      <x:c r="Q45" s="61"/>
    </x:row>
    <x:row r="46">
      <x:c r="A46" s="77" t="str">
        <x:v>COM-021</x:v>
      </x:c>
      <x:c r="B46" s="77" t="str">
        <x:v>2. Comercial</x:v>
      </x:c>
      <x:c r="C46" s="77" t="str">
        <x:v>Carteira</x:v>
      </x:c>
      <x:c r="D46" s="77" t="str">
        <x:v>Web + Mobile</x:v>
      </x:c>
      <x:c r="E46" s="78" t="str">
        <x:v>Baixa de itens selecionados</x:v>
      </x:c>
      <x:c r="F46" s="78" t="str">
        <x:v>Usuário escolhe itens específicos e o sistema não quita indevidamente a venda inteira.</x:v>
      </x:c>
      <x:c r="G46" s="77" t="str">
        <x:v>P0</x:v>
      </x:c>
      <x:c r="H46" s="77" t="str">
        <x:v>Não iniciado</x:v>
      </x:c>
      <x:c r="I46" s="79" t="n">
        <x:v>46270</x:v>
      </x:c>
      <x:c r="J46" s="79" t="n">
        <x:v>46270</x:v>
      </x:c>
      <x:c r="K46" s="77" t="str"/>
      <x:c r="L46" s="77" t="str"/>
      <x:c r="M46" s="77" t="str">
        <x:v>Sim</x:v>
      </x:c>
      <x:c r="N46" s="77" t="str">
        <x:v>Não</x:v>
      </x:c>
      <x:c r="O46" s="78" t="str"/>
      <x:c r="P46" s="78" t="str"/>
      <x:c r="Q46" s="61"/>
    </x:row>
    <x:row r="47">
      <x:c r="A47" s="77" t="str">
        <x:v>COM-022</x:v>
      </x:c>
      <x:c r="B47" s="77" t="str">
        <x:v>2. Comercial</x:v>
      </x:c>
      <x:c r="C47" s="77" t="str">
        <x:v>Carteira</x:v>
      </x:c>
      <x:c r="D47" s="77" t="str">
        <x:v>Web + Mobile</x:v>
      </x:c>
      <x:c r="E47" s="78" t="str">
        <x:v>Estorno de recebimento</x:v>
      </x:c>
      <x:c r="F47" s="78" t="str">
        <x:v>Estorno recria saldo correto, mantém histórico e não duplica crédito.</x:v>
      </x:c>
      <x:c r="G47" s="77" t="str">
        <x:v>P0</x:v>
      </x:c>
      <x:c r="H47" s="77" t="str">
        <x:v>Não iniciado</x:v>
      </x:c>
      <x:c r="I47" s="79" t="n">
        <x:v>46270</x:v>
      </x:c>
      <x:c r="J47" s="79" t="n">
        <x:v>46271</x:v>
      </x:c>
      <x:c r="K47" s="77" t="str"/>
      <x:c r="L47" s="77" t="str"/>
      <x:c r="M47" s="77" t="str">
        <x:v>Sim</x:v>
      </x:c>
      <x:c r="N47" s="77" t="str">
        <x:v>Não</x:v>
      </x:c>
      <x:c r="O47" s="78" t="str"/>
      <x:c r="P47" s="78" t="str"/>
      <x:c r="Q47" s="61"/>
    </x:row>
    <x:row r="48">
      <x:c r="A48" s="77" t="str">
        <x:v>COM-023</x:v>
      </x:c>
      <x:c r="B48" s="77" t="str">
        <x:v>2. Comercial</x:v>
      </x:c>
      <x:c r="C48" s="77" t="str">
        <x:v>Carteira</x:v>
      </x:c>
      <x:c r="D48" s="77" t="str">
        <x:v>Web + Mobile</x:v>
      </x:c>
      <x:c r="E48" s="78" t="str">
        <x:v>Cancelamento de itens em aberto</x:v>
      </x:c>
      <x:c r="F48" s="78" t="str">
        <x:v>Somente itens selecionados são cancelados; saldo e estoque refletem a ação.</x:v>
      </x:c>
      <x:c r="G48" s="77" t="str">
        <x:v>P0</x:v>
      </x:c>
      <x:c r="H48" s="77" t="str">
        <x:v>Não iniciado</x:v>
      </x:c>
      <x:c r="I48" s="79" t="n">
        <x:v>46270</x:v>
      </x:c>
      <x:c r="J48" s="79" t="n">
        <x:v>46271</x:v>
      </x:c>
      <x:c r="K48" s="77" t="str"/>
      <x:c r="L48" s="77" t="str"/>
      <x:c r="M48" s="77" t="str">
        <x:v>Sim</x:v>
      </x:c>
      <x:c r="N48" s="77" t="str">
        <x:v>Não</x:v>
      </x:c>
      <x:c r="O48" s="78" t="str"/>
      <x:c r="P48" s="78" t="str"/>
      <x:c r="Q48" s="61"/>
    </x:row>
    <x:row r="49">
      <x:c r="A49" s="77" t="str">
        <x:v>COM-024</x:v>
      </x:c>
      <x:c r="B49" s="77" t="str">
        <x:v>2. Comercial</x:v>
      </x:c>
      <x:c r="C49" s="77" t="str">
        <x:v>Vendas</x:v>
      </x:c>
      <x:c r="D49" s="77" t="str">
        <x:v>Mobile</x:v>
      </x:c>
      <x:c r="E49" s="78" t="str">
        <x:v>Detalhe de venda completo</x:v>
      </x:c>
      <x:c r="F49" s="78" t="str">
        <x:v>Mostra itens, cliente, pagamentos, desconto, total, status e referências fiscais disponíveis.</x:v>
      </x:c>
      <x:c r="G49" s="77" t="str">
        <x:v>P1</x:v>
      </x:c>
      <x:c r="H49" s="77" t="str">
        <x:v>Não iniciado</x:v>
      </x:c>
      <x:c r="I49" s="79" t="n">
        <x:v>46270</x:v>
      </x:c>
      <x:c r="J49" s="79" t="n">
        <x:v>46271</x:v>
      </x:c>
      <x:c r="K49" s="77" t="str"/>
      <x:c r="L49" s="77" t="str"/>
      <x:c r="M49" s="77" t="str">
        <x:v>Sim</x:v>
      </x:c>
      <x:c r="N49" s="77" t="str">
        <x:v>Não</x:v>
      </x:c>
      <x:c r="O49" s="78" t="str"/>
      <x:c r="P49" s="78" t="str"/>
      <x:c r="Q49" s="61"/>
    </x:row>
    <x:row r="50">
      <x:c r="A50" s="77" t="str">
        <x:v>COM-025</x:v>
      </x:c>
      <x:c r="B50" s="77" t="str">
        <x:v>2. Comercial</x:v>
      </x:c>
      <x:c r="C50" s="77" t="str">
        <x:v>Recibo</x:v>
      </x:c>
      <x:c r="D50" s="77" t="str">
        <x:v>Mobile</x:v>
      </x:c>
      <x:c r="E50" s="78" t="str">
        <x:v>Compartilhar recibo a partir de venda antiga</x:v>
      </x:c>
      <x:c r="F50" s="78" t="str">
        <x:v>No detalhe de venda, botão usa vendaId existente e abre PDF sem refinalizar.</x:v>
      </x:c>
      <x:c r="G50" s="77" t="str">
        <x:v>P1</x:v>
      </x:c>
      <x:c r="H50" s="77" t="str">
        <x:v>Não iniciado</x:v>
      </x:c>
      <x:c r="I50" s="79" t="n">
        <x:v>46271</x:v>
      </x:c>
      <x:c r="J50" s="79" t="n">
        <x:v>46271</x:v>
      </x:c>
      <x:c r="K50" s="77" t="str">
        <x:v>COM-024</x:v>
      </x:c>
      <x:c r="L50" s="77" t="str"/>
      <x:c r="M50" s="77" t="str">
        <x:v>Sim</x:v>
      </x:c>
      <x:c r="N50" s="77" t="str">
        <x:v>Não</x:v>
      </x:c>
      <x:c r="O50" s="78" t="str"/>
      <x:c r="P50" s="78" t="str"/>
      <x:c r="Q50" s="61"/>
    </x:row>
    <x:row r="51">
      <x:c r="A51" s="77" t="str">
        <x:v>COM-026</x:v>
      </x:c>
      <x:c r="B51" s="77" t="str">
        <x:v>2. Comercial</x:v>
      </x:c>
      <x:c r="C51" s="77" t="str">
        <x:v>Importação</x:v>
      </x:c>
      <x:c r="D51" s="77" t="str">
        <x:v>Web</x:v>
      </x:c>
      <x:c r="E51" s="78" t="str">
        <x:v>Importação de produtos</x:v>
      </x:c>
      <x:c r="F51" s="78" t="str">
        <x:v>Arquivo suportado importa para empresa ativa; mapeamento/revisão detectam erros sem db reset.</x:v>
      </x:c>
      <x:c r="G51" s="77" t="str">
        <x:v>P1</x:v>
      </x:c>
      <x:c r="H51" s="77" t="str">
        <x:v>Em validação</x:v>
      </x:c>
      <x:c r="I51" s="79" t="n">
        <x:v>46270</x:v>
      </x:c>
      <x:c r="J51" s="79" t="n">
        <x:v>46271</x:v>
      </x:c>
      <x:c r="K51" s="77" t="str"/>
      <x:c r="L51" s="77" t="str"/>
      <x:c r="M51" s="77" t="str">
        <x:v>Sim</x:v>
      </x:c>
      <x:c r="N51" s="77" t="str">
        <x:v>Não</x:v>
      </x:c>
      <x:c r="O51" s="78" t="str"/>
      <x:c r="P51" s="78" t="str"/>
      <x:c r="Q51" s="61"/>
    </x:row>
    <x:row r="52">
      <x:c r="A52" s="77" t="str">
        <x:v>COM-027</x:v>
      </x:c>
      <x:c r="B52" s="77" t="str">
        <x:v>2. Comercial</x:v>
      </x:c>
      <x:c r="C52" s="77" t="str">
        <x:v>Importação</x:v>
      </x:c>
      <x:c r="D52" s="77" t="str">
        <x:v>Web</x:v>
      </x:c>
      <x:c r="E52" s="78" t="str">
        <x:v>Importação de clientes</x:v>
      </x:c>
      <x:c r="F52" s="78" t="str">
        <x:v>Mesmo padrão do importador de produtos, respeitando empresa ativa.</x:v>
      </x:c>
      <x:c r="G52" s="77" t="str">
        <x:v>P1</x:v>
      </x:c>
      <x:c r="H52" s="77" t="str">
        <x:v>Em validação</x:v>
      </x:c>
      <x:c r="I52" s="79" t="n">
        <x:v>46270</x:v>
      </x:c>
      <x:c r="J52" s="79" t="n">
        <x:v>46271</x:v>
      </x:c>
      <x:c r="K52" s="77" t="str"/>
      <x:c r="L52" s="77" t="str"/>
      <x:c r="M52" s="77" t="str">
        <x:v>Sim</x:v>
      </x:c>
      <x:c r="N52" s="77" t="str">
        <x:v>Não</x:v>
      </x:c>
      <x:c r="O52" s="78" t="str"/>
      <x:c r="P52" s="78" t="str"/>
      <x:c r="Q52" s="61"/>
    </x:row>
    <x:row r="53">
      <x:c r="A53" s="77" t="str">
        <x:v>COM-028</x:v>
      </x:c>
      <x:c r="B53" s="77" t="str">
        <x:v>2. Comercial</x:v>
      </x:c>
      <x:c r="C53" s="77" t="str">
        <x:v>Regressão</x:v>
      </x:c>
      <x:c r="D53" s="77" t="str">
        <x:v>Web + Mobile</x:v>
      </x:c>
      <x:c r="E53" s="78" t="str">
        <x:v>Roteiro comercial completo de ponta a ponta</x:v>
      </x:c>
      <x:c r="F53" s="78" t="str">
        <x:v>Produto → cliente → venda → estoque → carteira → recibo → consulta em Vendas passa sem correção manual.</x:v>
      </x:c>
      <x:c r="G53" s="77" t="str">
        <x:v>P0</x:v>
      </x:c>
      <x:c r="H53" s="77" t="str">
        <x:v>Não iniciado</x:v>
      </x:c>
      <x:c r="I53" s="79" t="n">
        <x:v>46271</x:v>
      </x:c>
      <x:c r="J53" s="79" t="n">
        <x:v>46271</x:v>
      </x:c>
      <x:c r="K53" s="77" t="str"/>
      <x:c r="L53" s="77" t="str"/>
      <x:c r="M53" s="77" t="str">
        <x:v>Sim</x:v>
      </x:c>
      <x:c r="N53" s="77" t="str">
        <x:v>Não</x:v>
      </x:c>
      <x:c r="O53" s="78" t="str"/>
      <x:c r="P53" s="78" t="str"/>
      <x:c r="Q53" s="61"/>
    </x:row>
    <x:row r="54">
      <x:c r="A54" s="77" t="str">
        <x:v>FIS-001</x:v>
      </x:c>
      <x:c r="B54" s="77" t="str">
        <x:v>3. Fiscal e integrações</x:v>
      </x:c>
      <x:c r="C54" s="77" t="str">
        <x:v>Fiscal</x:v>
      </x:c>
      <x:c r="D54" s="77" t="str">
        <x:v>Web</x:v>
      </x:c>
      <x:c r="E54" s="78" t="str">
        <x:v>Revisar prontidão fiscal por empresa</x:v>
      </x:c>
      <x:c r="F54" s="78" t="str">
        <x:v>CRT/regime, IE, certificado A1, senha, CSC, séries, ambiente e numeração validados.</x:v>
      </x:c>
      <x:c r="G54" s="77" t="str">
        <x:v>P0</x:v>
      </x:c>
      <x:c r="H54" s="77" t="str">
        <x:v>Não iniciado</x:v>
      </x:c>
      <x:c r="I54" s="79" t="n">
        <x:v>46272</x:v>
      </x:c>
      <x:c r="J54" s="79" t="n">
        <x:v>46272</x:v>
      </x:c>
      <x:c r="K54" s="77" t="str"/>
      <x:c r="L54" s="77" t="str"/>
      <x:c r="M54" s="77" t="str">
        <x:v>Sim</x:v>
      </x:c>
      <x:c r="N54" s="77" t="str">
        <x:v>Não</x:v>
      </x:c>
      <x:c r="O54" s="78" t="str"/>
      <x:c r="P54" s="78" t="str"/>
      <x:c r="Q54" s="61"/>
    </x:row>
    <x:row r="55">
      <x:c r="A55" s="77" t="str">
        <x:v>FIS-002</x:v>
      </x:c>
      <x:c r="B55" s="77" t="str">
        <x:v>3. Fiscal e integrações</x:v>
      </x:c>
      <x:c r="C55" s="77" t="str">
        <x:v>NFC-e</x:v>
      </x:c>
      <x:c r="D55" s="77" t="str">
        <x:v>Web</x:v>
      </x:c>
      <x:c r="E55" s="78" t="str">
        <x:v>Emitir NFC-e homologação ponta a ponta</x:v>
      </x:c>
      <x:c r="F55" s="78" t="str">
        <x:v>Venda autorizada; XML/protocolo/status gravados; sem retransmissão duplicada.</x:v>
      </x:c>
      <x:c r="G55" s="77" t="str">
        <x:v>P0</x:v>
      </x:c>
      <x:c r="H55" s="77" t="str">
        <x:v>Não iniciado</x:v>
      </x:c>
      <x:c r="I55" s="79" t="n">
        <x:v>46272</x:v>
      </x:c>
      <x:c r="J55" s="79" t="n">
        <x:v>46273</x:v>
      </x:c>
      <x:c r="K55" s="77" t="str">
        <x:v>FIS-001</x:v>
      </x:c>
      <x:c r="L55" s="77" t="str"/>
      <x:c r="M55" s="77" t="str">
        <x:v>Sim</x:v>
      </x:c>
      <x:c r="N55" s="77" t="str">
        <x:v>Não</x:v>
      </x:c>
      <x:c r="O55" s="78" t="str"/>
      <x:c r="P55" s="78" t="str"/>
      <x:c r="Q55" s="61"/>
    </x:row>
    <x:row r="56">
      <x:c r="A56" s="77" t="str">
        <x:v>FIS-003</x:v>
      </x:c>
      <x:c r="B56" s="77" t="str">
        <x:v>3. Fiscal e integrações</x:v>
      </x:c>
      <x:c r="C56" s="77" t="str">
        <x:v>NF-e</x:v>
      </x:c>
      <x:c r="D56" s="77" t="str">
        <x:v>Web</x:v>
      </x:c>
      <x:c r="E56" s="78" t="str">
        <x:v>Emitir NF-e homologação ponta a ponta</x:v>
      </x:c>
      <x:c r="F56" s="78" t="str">
        <x:v>Operação autorizada, status visível em Vendas e dados persistidos.</x:v>
      </x:c>
      <x:c r="G56" s="77" t="str">
        <x:v>P0</x:v>
      </x:c>
      <x:c r="H56" s="77" t="str">
        <x:v>Não iniciado</x:v>
      </x:c>
      <x:c r="I56" s="79" t="n">
        <x:v>46272</x:v>
      </x:c>
      <x:c r="J56" s="79" t="n">
        <x:v>46273</x:v>
      </x:c>
      <x:c r="K56" s="77" t="str">
        <x:v>FIS-001</x:v>
      </x:c>
      <x:c r="L56" s="77" t="str"/>
      <x:c r="M56" s="77" t="str">
        <x:v>Sim</x:v>
      </x:c>
      <x:c r="N56" s="77" t="str">
        <x:v>Não</x:v>
      </x:c>
      <x:c r="O56" s="78" t="str"/>
      <x:c r="P56" s="78" t="str"/>
      <x:c r="Q56" s="61"/>
    </x:row>
    <x:row r="57">
      <x:c r="A57" s="77" t="str">
        <x:v>FIS-004</x:v>
      </x:c>
      <x:c r="B57" s="77" t="str">
        <x:v>3. Fiscal e integrações</x:v>
      </x:c>
      <x:c r="C57" s="77" t="str">
        <x:v>Fiscal</x:v>
      </x:c>
      <x:c r="D57" s="77" t="str">
        <x:v>Web</x:v>
      </x:c>
      <x:c r="E57" s="78" t="str">
        <x:v>Resolver rejeições cadastrais do emitente</x:v>
      </x:c>
      <x:c r="F57" s="78" t="str">
        <x:v>IE/regime/cadastro fiscal da empresa passam na SEFAZ do ambiente utilizado.</x:v>
      </x:c>
      <x:c r="G57" s="77" t="str">
        <x:v>P0</x:v>
      </x:c>
      <x:c r="H57" s="77" t="str">
        <x:v>Não iniciado</x:v>
      </x:c>
      <x:c r="I57" s="79" t="n">
        <x:v>46272</x:v>
      </x:c>
      <x:c r="J57" s="79" t="n">
        <x:v>46273</x:v>
      </x:c>
      <x:c r="K57" s="77" t="str">
        <x:v>FIS-001</x:v>
      </x:c>
      <x:c r="L57" s="77" t="str"/>
      <x:c r="M57" s="77" t="str">
        <x:v>Sim</x:v>
      </x:c>
      <x:c r="N57" s="77" t="str">
        <x:v>Não</x:v>
      </x:c>
      <x:c r="O57" s="78" t="str"/>
      <x:c r="P57" s="78" t="str"/>
      <x:c r="Q57" s="61"/>
    </x:row>
    <x:row r="58">
      <x:c r="A58" s="77" t="str">
        <x:v>FIS-005</x:v>
      </x:c>
      <x:c r="B58" s="77" t="str">
        <x:v>3. Fiscal e integrações</x:v>
      </x:c>
      <x:c r="C58" s="77" t="str">
        <x:v>Fiscal</x:v>
      </x:c>
      <x:c r="D58" s="77" t="str">
        <x:v>Web</x:v>
      </x:c>
      <x:c r="E58" s="78" t="str">
        <x:v>Validar itens fiscais completos</x:v>
      </x:c>
      <x:c r="F58" s="78" t="str">
        <x:v>NCM, CFOP, origem, ICMS/CSOSN/CST, PIS, COFINS e demais campos coerentes com grupo fiscal.</x:v>
      </x:c>
      <x:c r="G58" s="77" t="str">
        <x:v>P0</x:v>
      </x:c>
      <x:c r="H58" s="77" t="str">
        <x:v>Não iniciado</x:v>
      </x:c>
      <x:c r="I58" s="79" t="n">
        <x:v>46273</x:v>
      </x:c>
      <x:c r="J58" s="79" t="n">
        <x:v>46274</x:v>
      </x:c>
      <x:c r="K58" s="77" t="str"/>
      <x:c r="L58" s="77" t="str"/>
      <x:c r="M58" s="77" t="str">
        <x:v>Sim</x:v>
      </x:c>
      <x:c r="N58" s="77" t="str">
        <x:v>Não</x:v>
      </x:c>
      <x:c r="O58" s="78" t="str"/>
      <x:c r="P58" s="78" t="str"/>
      <x:c r="Q58" s="61"/>
    </x:row>
    <x:row r="59">
      <x:c r="A59" s="77" t="str">
        <x:v>FIS-006</x:v>
      </x:c>
      <x:c r="B59" s="77" t="str">
        <x:v>3. Fiscal e integrações</x:v>
      </x:c>
      <x:c r="C59" s="77" t="str">
        <x:v>Fiscal</x:v>
      </x:c>
      <x:c r="D59" s="77" t="str">
        <x:v>Web</x:v>
      </x:c>
      <x:c r="E59" s="78" t="str">
        <x:v>Reconciliação de emissão ambígua</x:v>
      </x:c>
      <x:c r="F59" s="78" t="str">
        <x:v>Erro de comunicação/consulta ambígua fica aguardando reconciliação sem retransmitir nem gerar novo número.</x:v>
      </x:c>
      <x:c r="G59" s="77" t="str">
        <x:v>P0</x:v>
      </x:c>
      <x:c r="H59" s="77" t="str">
        <x:v>Em validação</x:v>
      </x:c>
      <x:c r="I59" s="79" t="n">
        <x:v>46273</x:v>
      </x:c>
      <x:c r="J59" s="79" t="n">
        <x:v>46274</x:v>
      </x:c>
      <x:c r="K59" s="77" t="str"/>
      <x:c r="L59" s="77" t="str"/>
      <x:c r="M59" s="77" t="str">
        <x:v>Sim</x:v>
      </x:c>
      <x:c r="N59" s="77" t="str">
        <x:v>Não</x:v>
      </x:c>
      <x:c r="O59" s="78" t="str"/>
      <x:c r="P59" s="78" t="str"/>
      <x:c r="Q59" s="61"/>
    </x:row>
    <x:row r="60">
      <x:c r="A60" s="77" t="str">
        <x:v>FIS-007</x:v>
      </x:c>
      <x:c r="B60" s="77" t="str">
        <x:v>3. Fiscal e integrações</x:v>
      </x:c>
      <x:c r="C60" s="77" t="str">
        <x:v>Fiscal</x:v>
      </x:c>
      <x:c r="D60" s="77" t="str">
        <x:v>Web</x:v>
      </x:c>
      <x:c r="E60" s="78" t="str">
        <x:v>Cancelamento fiscal</x:v>
      </x:c>
      <x:c r="F60" s="78" t="str">
        <x:v>Documento autorizado é cancelado conforme regras; efeitos comerciais são avisados e tratados.</x:v>
      </x:c>
      <x:c r="G60" s="77" t="str">
        <x:v>P0</x:v>
      </x:c>
      <x:c r="H60" s="77" t="str">
        <x:v>Não iniciado</x:v>
      </x:c>
      <x:c r="I60" s="79" t="n">
        <x:v>46274</x:v>
      </x:c>
      <x:c r="J60" s="79" t="n">
        <x:v>46275</x:v>
      </x:c>
      <x:c r="K60" s="77" t="str"/>
      <x:c r="L60" s="77" t="str"/>
      <x:c r="M60" s="77" t="str">
        <x:v>Sim</x:v>
      </x:c>
      <x:c r="N60" s="77" t="str">
        <x:v>Não</x:v>
      </x:c>
      <x:c r="O60" s="78" t="str"/>
      <x:c r="P60" s="78" t="str"/>
      <x:c r="Q60" s="61"/>
    </x:row>
    <x:row r="61">
      <x:c r="A61" s="77" t="str">
        <x:v>FIS-008</x:v>
      </x:c>
      <x:c r="B61" s="77" t="str">
        <x:v>3. Fiscal e integrações</x:v>
      </x:c>
      <x:c r="C61" s="77" t="str">
        <x:v>Fiscal</x:v>
      </x:c>
      <x:c r="D61" s="77" t="str">
        <x:v>Web</x:v>
      </x:c>
      <x:c r="E61" s="78" t="str">
        <x:v>Carta de Correção NF-e</x:v>
      </x:c>
      <x:c r="F61" s="78" t="str">
        <x:v>CC-e é enviada, registrada e imprimível quando aplicável.</x:v>
      </x:c>
      <x:c r="G61" s="77" t="str">
        <x:v>P1</x:v>
      </x:c>
      <x:c r="H61" s="77" t="str">
        <x:v>Em validação</x:v>
      </x:c>
      <x:c r="I61" s="79" t="n">
        <x:v>46274</x:v>
      </x:c>
      <x:c r="J61" s="79" t="n">
        <x:v>46275</x:v>
      </x:c>
      <x:c r="K61" s="77" t="str"/>
      <x:c r="L61" s="77" t="str"/>
      <x:c r="M61" s="77" t="str">
        <x:v>Sim</x:v>
      </x:c>
      <x:c r="N61" s="77" t="str">
        <x:v>Não</x:v>
      </x:c>
      <x:c r="O61" s="78" t="str"/>
      <x:c r="P61" s="78" t="str"/>
      <x:c r="Q61" s="61"/>
    </x:row>
    <x:row r="62">
      <x:c r="A62" s="77" t="str">
        <x:v>FIS-009</x:v>
      </x:c>
      <x:c r="B62" s="77" t="str">
        <x:v>3. Fiscal e integrações</x:v>
      </x:c>
      <x:c r="C62" s="77" t="str">
        <x:v>NF-e</x:v>
      </x:c>
      <x:c r="D62" s="77" t="str">
        <x:v>Web</x:v>
      </x:c>
      <x:c r="E62" s="78" t="str">
        <x:v>Transportador e volumes</x:v>
      </x:c>
      <x:c r="F62" s="78" t="str">
        <x:v>Campos de frete/transportador/volumes persistem e entram no payload quando preenchidos.</x:v>
      </x:c>
      <x:c r="G62" s="77" t="str">
        <x:v>P1</x:v>
      </x:c>
      <x:c r="H62" s="77" t="str">
        <x:v>Em validação</x:v>
      </x:c>
      <x:c r="I62" s="79" t="n">
        <x:v>46274</x:v>
      </x:c>
      <x:c r="J62" s="79" t="n">
        <x:v>46275</x:v>
      </x:c>
      <x:c r="K62" s="77" t="str"/>
      <x:c r="L62" s="77" t="str"/>
      <x:c r="M62" s="77" t="str">
        <x:v>Sim</x:v>
      </x:c>
      <x:c r="N62" s="77" t="str">
        <x:v>Não</x:v>
      </x:c>
      <x:c r="O62" s="78" t="str"/>
      <x:c r="P62" s="78" t="str"/>
      <x:c r="Q62" s="61"/>
    </x:row>
    <x:row r="63">
      <x:c r="A63" s="77" t="str">
        <x:v>FIS-010</x:v>
      </x:c>
      <x:c r="B63" s="77" t="str">
        <x:v>3. Fiscal e integrações</x:v>
      </x:c>
      <x:c r="C63" s="77" t="str">
        <x:v>Operações fiscais</x:v>
      </x:c>
      <x:c r="D63" s="77" t="str">
        <x:v>Web</x:v>
      </x:c>
      <x:c r="E63" s="78" t="str">
        <x:v>Venda fora do PDV pela tela fiscal</x:v>
      </x:c>
      <x:c r="F63" s="78" t="str">
        <x:v>Operação comercial criada com estoque/pagamento/venda coerentes e aparece na aba Vendas.</x:v>
      </x:c>
      <x:c r="G63" s="77" t="str">
        <x:v>P1</x:v>
      </x:c>
      <x:c r="H63" s="77" t="str">
        <x:v>Não iniciado</x:v>
      </x:c>
      <x:c r="I63" s="79" t="n">
        <x:v>46274</x:v>
      </x:c>
      <x:c r="J63" s="79" t="n">
        <x:v>46276</x:v>
      </x:c>
      <x:c r="K63" s="77" t="str"/>
      <x:c r="L63" s="77" t="str"/>
      <x:c r="M63" s="77" t="str">
        <x:v>Sim</x:v>
      </x:c>
      <x:c r="N63" s="77" t="str">
        <x:v>Não</x:v>
      </x:c>
      <x:c r="O63" s="78" t="str"/>
      <x:c r="P63" s="78" t="str"/>
      <x:c r="Q63" s="61"/>
    </x:row>
    <x:row r="64">
      <x:c r="A64" s="77" t="str">
        <x:v>FIS-011</x:v>
      </x:c>
      <x:c r="B64" s="77" t="str">
        <x:v>3. Fiscal e integrações</x:v>
      </x:c>
      <x:c r="C64" s="77" t="str">
        <x:v>Operações fiscais</x:v>
      </x:c>
      <x:c r="D64" s="77" t="str">
        <x:v>Web</x:v>
      </x:c>
      <x:c r="E64" s="78" t="str">
        <x:v>Naturezas essenciais: devolução, bonificação e transferência</x:v>
      </x:c>
      <x:c r="F64" s="78" t="str">
        <x:v>Cada natureza tem fluxo claro, validação e impacto de estoque correto; sem misturar empresa/filial.</x:v>
      </x:c>
      <x:c r="G64" s="77" t="str">
        <x:v>P1</x:v>
      </x:c>
      <x:c r="H64" s="77" t="str">
        <x:v>Não iniciado</x:v>
      </x:c>
      <x:c r="I64" s="79" t="n">
        <x:v>46275</x:v>
      </x:c>
      <x:c r="J64" s="79" t="n">
        <x:v>46276</x:v>
      </x:c>
      <x:c r="K64" s="77" t="str"/>
      <x:c r="L64" s="77" t="str"/>
      <x:c r="M64" s="77" t="str">
        <x:v>Sim</x:v>
      </x:c>
      <x:c r="N64" s="77" t="str">
        <x:v>Não</x:v>
      </x:c>
      <x:c r="O64" s="78" t="str"/>
      <x:c r="P64" s="78" t="str"/>
      <x:c r="Q64" s="61"/>
    </x:row>
    <x:row r="65">
      <x:c r="A65" s="77" t="str">
        <x:v>FIS-012</x:v>
      </x:c>
      <x:c r="B65" s="77" t="str">
        <x:v>3. Fiscal e integrações</x:v>
      </x:c>
      <x:c r="C65" s="77" t="str">
        <x:v>Fiscal</x:v>
      </x:c>
      <x:c r="D65" s="77" t="str">
        <x:v>Web</x:v>
      </x:c>
      <x:c r="E65" s="78" t="str">
        <x:v>Ativar emissão automática NFC-e somente quando configurado</x:v>
      </x:c>
      <x:c r="F65" s="78" t="str">
        <x:v>Configuração por empresa controla emissão pós-PDV; desligado não emite.</x:v>
      </x:c>
      <x:c r="G65" s="77" t="str">
        <x:v>P0</x:v>
      </x:c>
      <x:c r="H65" s="77" t="str">
        <x:v>Não iniciado</x:v>
      </x:c>
      <x:c r="I65" s="79" t="n">
        <x:v>46275</x:v>
      </x:c>
      <x:c r="J65" s="79" t="n">
        <x:v>46276</x:v>
      </x:c>
      <x:c r="K65" s="77" t="str"/>
      <x:c r="L65" s="77" t="str"/>
      <x:c r="M65" s="77" t="str">
        <x:v>Sim</x:v>
      </x:c>
      <x:c r="N65" s="77" t="str">
        <x:v>Não</x:v>
      </x:c>
      <x:c r="O65" s="78" t="str"/>
      <x:c r="P65" s="78" t="str"/>
      <x:c r="Q65" s="61"/>
    </x:row>
    <x:row r="66">
      <x:c r="A66" s="77" t="str">
        <x:v>PIX-001</x:v>
      </x:c>
      <x:c r="B66" s="77" t="str">
        <x:v>3. Fiscal e integrações</x:v>
      </x:c>
      <x:c r="C66" s="77" t="str">
        <x:v>PIX</x:v>
      </x:c>
      <x:c r="D66" s="77" t="str">
        <x:v>Web + Mobile</x:v>
      </x:c>
      <x:c r="E66" s="78" t="str">
        <x:v>Validar PIX local/manual</x:v>
      </x:c>
      <x:c r="F66" s="78" t="str">
        <x:v>Cobrança/registro funciona sem depender da Geranet e respeita empresa ativa.</x:v>
      </x:c>
      <x:c r="G66" s="77" t="str">
        <x:v>P1</x:v>
      </x:c>
      <x:c r="H66" s="77" t="str">
        <x:v>Não iniciado</x:v>
      </x:c>
      <x:c r="I66" s="79" t="n">
        <x:v>46275</x:v>
      </x:c>
      <x:c r="J66" s="79" t="n">
        <x:v>46276</x:v>
      </x:c>
      <x:c r="K66" s="77" t="str"/>
      <x:c r="L66" s="77" t="str"/>
      <x:c r="M66" s="77" t="str">
        <x:v>Sim</x:v>
      </x:c>
      <x:c r="N66" s="77" t="str">
        <x:v>Não</x:v>
      </x:c>
      <x:c r="O66" s="78" t="str"/>
      <x:c r="P66" s="78" t="str"/>
      <x:c r="Q66" s="61"/>
    </x:row>
    <x:row r="67">
      <x:c r="A67" s="77" t="str">
        <x:v>PIX-002</x:v>
      </x:c>
      <x:c r="B67" s="77" t="str">
        <x:v>3. Fiscal e integrações</x:v>
      </x:c>
      <x:c r="C67" s="77" t="str">
        <x:v>PIX</x:v>
      </x:c>
      <x:c r="D67" s="77" t="str">
        <x:v>Web + Mobile</x:v>
      </x:c>
      <x:c r="E67" s="78" t="str">
        <x:v>Validar PIX Geranet com provedor realmente configurado</x:v>
      </x:c>
      <x:c r="F67" s="78" t="str">
        <x:v>Emitir/consultar/cancelar cobrança em ambiente correto e registrar logs.</x:v>
      </x:c>
      <x:c r="G67" s="77" t="str">
        <x:v>P0</x:v>
      </x:c>
      <x:c r="H67" s="77" t="str">
        <x:v>Não iniciado</x:v>
      </x:c>
      <x:c r="I67" s="79" t="n">
        <x:v>46275</x:v>
      </x:c>
      <x:c r="J67" s="79" t="n">
        <x:v>46277</x:v>
      </x:c>
      <x:c r="K67" s="77" t="str"/>
      <x:c r="L67" s="77" t="str"/>
      <x:c r="M67" s="77" t="str">
        <x:v>Sim</x:v>
      </x:c>
      <x:c r="N67" s="77" t="str">
        <x:v>Não</x:v>
      </x:c>
      <x:c r="O67" s="78" t="str"/>
      <x:c r="P67" s="78" t="str"/>
      <x:c r="Q67" s="61"/>
    </x:row>
    <x:row r="68">
      <x:c r="A68" s="77" t="str">
        <x:v>PIX-003</x:v>
      </x:c>
      <x:c r="B68" s="77" t="str">
        <x:v>3. Fiscal e integrações</x:v>
      </x:c>
      <x:c r="C68" s="77" t="str">
        <x:v>PIX</x:v>
      </x:c>
      <x:c r="D68" s="77" t="str">
        <x:v>Web</x:v>
      </x:c>
      <x:c r="E68" s="78" t="str">
        <x:v>Bloquear provedores não totalmente mapeados</x:v>
      </x:c>
      <x:c r="F68" s="78" t="str">
        <x:v>Nenhum provedor aparece selecionável se campos/contrato não estiverem implementados.</x:v>
      </x:c>
      <x:c r="G68" s="77" t="str">
        <x:v>P1</x:v>
      </x:c>
      <x:c r="H68" s="77" t="str">
        <x:v>Não iniciado</x:v>
      </x:c>
      <x:c r="I68" s="79" t="n">
        <x:v>46276</x:v>
      </x:c>
      <x:c r="J68" s="79" t="n">
        <x:v>46277</x:v>
      </x:c>
      <x:c r="K68" s="77" t="str"/>
      <x:c r="L68" s="77" t="str"/>
      <x:c r="M68" s="77" t="str">
        <x:v>Sim</x:v>
      </x:c>
      <x:c r="N68" s="77" t="str">
        <x:v>Não</x:v>
      </x:c>
      <x:c r="O68" s="78" t="str"/>
      <x:c r="P68" s="78" t="str"/>
      <x:c r="Q68" s="61"/>
    </x:row>
    <x:row r="69">
      <x:c r="A69" s="77" t="str">
        <x:v>PIX-004</x:v>
      </x:c>
      <x:c r="B69" s="77" t="str">
        <x:v>3. Fiscal e integrações</x:v>
      </x:c>
      <x:c r="C69" s="77" t="str">
        <x:v>PIX</x:v>
      </x:c>
      <x:c r="D69" s="77" t="str">
        <x:v>Backend/Banco</x:v>
      </x:c>
      <x:c r="E69" s="78" t="str">
        <x:v>Auditar segregação de credenciais por empresa/provedor/ambiente</x:v>
      </x:c>
      <x:c r="F69" s="78" t="str">
        <x:v>Vault/logs/configuração nunca cruzam empresas e nunca expõem segredo no cliente.</x:v>
      </x:c>
      <x:c r="G69" s="77" t="str">
        <x:v>P0</x:v>
      </x:c>
      <x:c r="H69" s="77" t="str">
        <x:v>Não iniciado</x:v>
      </x:c>
      <x:c r="I69" s="79" t="n">
        <x:v>46276</x:v>
      </x:c>
      <x:c r="J69" s="79" t="n">
        <x:v>46277</x:v>
      </x:c>
      <x:c r="K69" s="77" t="str"/>
      <x:c r="L69" s="77" t="str"/>
      <x:c r="M69" s="77" t="str">
        <x:v>Sim</x:v>
      </x:c>
      <x:c r="N69" s="77" t="str">
        <x:v>Não</x:v>
      </x:c>
      <x:c r="O69" s="78" t="str"/>
      <x:c r="P69" s="78" t="str"/>
      <x:c r="Q69" s="61"/>
    </x:row>
    <x:row r="70">
      <x:c r="A70" s="77" t="str">
        <x:v>PRN-001</x:v>
      </x:c>
      <x:c r="B70" s="77" t="str">
        <x:v>3. Fiscal e integrações</x:v>
      </x:c>
      <x:c r="C70" s="77" t="str">
        <x:v>Impressão</x:v>
      </x:c>
      <x:c r="D70" s="77" t="str">
        <x:v>Infra</x:v>
      </x:c>
      <x:c r="E70" s="78" t="str">
        <x:v>Validar UltraPDV Connector/Print Agent instalável</x:v>
      </x:c>
      <x:c r="F70" s="78" t="str">
        <x:v>Setup instala, inicia, abre painel/tray e encontra impressoras sem DLL ausente.</x:v>
      </x:c>
      <x:c r="G70" s="77" t="str">
        <x:v>P0</x:v>
      </x:c>
      <x:c r="H70" s="77" t="str">
        <x:v>Em validação</x:v>
      </x:c>
      <x:c r="I70" s="79" t="n">
        <x:v>46276</x:v>
      </x:c>
      <x:c r="J70" s="79" t="n">
        <x:v>46277</x:v>
      </x:c>
      <x:c r="K70" s="77" t="str"/>
      <x:c r="L70" s="77" t="str"/>
      <x:c r="M70" s="77" t="str">
        <x:v>Sim</x:v>
      </x:c>
      <x:c r="N70" s="77" t="str">
        <x:v>Não</x:v>
      </x:c>
      <x:c r="O70" s="78" t="str"/>
      <x:c r="P70" s="78" t="str"/>
      <x:c r="Q70" s="61"/>
    </x:row>
    <x:row r="71">
      <x:c r="A71" s="77" t="str">
        <x:v>PRN-002</x:v>
      </x:c>
      <x:c r="B71" s="77" t="str">
        <x:v>3. Fiscal e integrações</x:v>
      </x:c>
      <x:c r="C71" s="77" t="str">
        <x:v>Impressão</x:v>
      </x:c>
      <x:c r="D71" s="77" t="str">
        <x:v>Web</x:v>
      </x:c>
      <x:c r="E71" s="78" t="str">
        <x:v>Toda rota de impressão usa impressora selecionada</x:v>
      </x:c>
      <x:c r="F71" s="78" t="str">
        <x:v>PDV, Vendas, recibos e documentos suportados respeitam a impressora configurada.</x:v>
      </x:c>
      <x:c r="G71" s="77" t="str">
        <x:v>P0</x:v>
      </x:c>
      <x:c r="H71" s="77" t="str">
        <x:v>Não iniciado</x:v>
      </x:c>
      <x:c r="I71" s="79" t="n">
        <x:v>46276</x:v>
      </x:c>
      <x:c r="J71" s="79" t="n">
        <x:v>46277</x:v>
      </x:c>
      <x:c r="K71" s="77" t="str">
        <x:v>PRN-001</x:v>
      </x:c>
      <x:c r="L71" s="77" t="str"/>
      <x:c r="M71" s="77" t="str">
        <x:v>Sim</x:v>
      </x:c>
      <x:c r="N71" s="77" t="str">
        <x:v>Não</x:v>
      </x:c>
      <x:c r="O71" s="78" t="str"/>
      <x:c r="P71" s="78" t="str"/>
      <x:c r="Q71" s="61"/>
    </x:row>
    <x:row r="72">
      <x:c r="A72" s="77" t="str">
        <x:v>PRN-003</x:v>
      </x:c>
      <x:c r="B72" s="77" t="str">
        <x:v>3. Fiscal e integrações</x:v>
      </x:c>
      <x:c r="C72" s="77" t="str">
        <x:v>Impressão</x:v>
      </x:c>
      <x:c r="D72" s="77" t="str">
        <x:v>Web</x:v>
      </x:c>
      <x:c r="E72" s="78" t="str">
        <x:v>Validar recibo térmico 80mm</x:v>
      </x:c>
      <x:c r="F72" s="78" t="str">
        <x:v>Recibo imprime legível, sem cortes e com dados/valores corretos.</x:v>
      </x:c>
      <x:c r="G72" s="77" t="str">
        <x:v>P1</x:v>
      </x:c>
      <x:c r="H72" s="77" t="str">
        <x:v>Não iniciado</x:v>
      </x:c>
      <x:c r="I72" s="79" t="n">
        <x:v>46277</x:v>
      </x:c>
      <x:c r="J72" s="79" t="n">
        <x:v>46277</x:v>
      </x:c>
      <x:c r="K72" s="77" t="str"/>
      <x:c r="L72" s="77" t="str"/>
      <x:c r="M72" s="77" t="str">
        <x:v>Sim</x:v>
      </x:c>
      <x:c r="N72" s="77" t="str">
        <x:v>Não</x:v>
      </x:c>
      <x:c r="O72" s="78" t="str"/>
      <x:c r="P72" s="78" t="str"/>
      <x:c r="Q72" s="61"/>
    </x:row>
    <x:row r="73">
      <x:c r="A73" s="77" t="str">
        <x:v>FIS-013</x:v>
      </x:c>
      <x:c r="B73" s="77" t="str">
        <x:v>3. Fiscal e integrações</x:v>
      </x:c>
      <x:c r="C73" s="77" t="str">
        <x:v>Regressão</x:v>
      </x:c>
      <x:c r="D73" s="77" t="str">
        <x:v>Web + Mobile</x:v>
      </x:c>
      <x:c r="E73" s="78" t="str">
        <x:v>Roteiro venda + pagamento + estoque + fiscal + impressão</x:v>
      </x:c>
      <x:c r="F73" s="78" t="str">
        <x:v>Fluxo completo passa sem inconsistência ou retransmissão.</x:v>
      </x:c>
      <x:c r="G73" s="77" t="str">
        <x:v>P0</x:v>
      </x:c>
      <x:c r="H73" s="77" t="str">
        <x:v>Não iniciado</x:v>
      </x:c>
      <x:c r="I73" s="79" t="n">
        <x:v>46278</x:v>
      </x:c>
      <x:c r="J73" s="79" t="n">
        <x:v>46278</x:v>
      </x:c>
      <x:c r="K73" s="77" t="str"/>
      <x:c r="L73" s="77" t="str"/>
      <x:c r="M73" s="77" t="str">
        <x:v>Sim</x:v>
      </x:c>
      <x:c r="N73" s="77" t="str">
        <x:v>Não</x:v>
      </x:c>
      <x:c r="O73" s="78" t="str"/>
      <x:c r="P73" s="78" t="str"/>
      <x:c r="Q73" s="61"/>
    </x:row>
    <x:row r="74">
      <x:c r="A74" s="77" t="str">
        <x:v>TST-001</x:v>
      </x:c>
      <x:c r="B74" s="77" t="str">
        <x:v>4. Testes reais</x:v>
      </x:c>
      <x:c r="C74" s="77" t="str">
        <x:v>Multiempresa</x:v>
      </x:c>
      <x:c r="D74" s="77" t="str">
        <x:v>Web + Mobile</x:v>
      </x:c>
      <x:c r="E74" s="78" t="str">
        <x:v>Criar/usar duas empresas independentes</x:v>
      </x:c>
      <x:c r="F74" s="78" t="str">
        <x:v>Nenhum dado comercial/fiscal/configuração cruza entre empresas.</x:v>
      </x:c>
      <x:c r="G74" s="77" t="str">
        <x:v>P0</x:v>
      </x:c>
      <x:c r="H74" s="77" t="str">
        <x:v>Não iniciado</x:v>
      </x:c>
      <x:c r="I74" s="79" t="n">
        <x:v>46279</x:v>
      </x:c>
      <x:c r="J74" s="79" t="n">
        <x:v>46279</x:v>
      </x:c>
      <x:c r="K74" s="77" t="str"/>
      <x:c r="L74" s="77" t="str"/>
      <x:c r="M74" s="77" t="str">
        <x:v>Sim</x:v>
      </x:c>
      <x:c r="N74" s="77" t="str">
        <x:v>Não</x:v>
      </x:c>
      <x:c r="O74" s="78" t="str"/>
      <x:c r="P74" s="78" t="str"/>
      <x:c r="Q74" s="61"/>
    </x:row>
    <x:row r="75">
      <x:c r="A75" s="77" t="str">
        <x:v>TST-002</x:v>
      </x:c>
      <x:c r="B75" s="77" t="str">
        <x:v>4. Testes reais</x:v>
      </x:c>
      <x:c r="C75" s="77" t="str">
        <x:v>Perfis</x:v>
      </x:c>
      <x:c r="D75" s="77" t="str">
        <x:v>Web + Mobile</x:v>
      </x:c>
      <x:c r="E75" s="78" t="str">
        <x:v>Testar administrador e perfis operacionais usados no lançamento</x:v>
      </x:c>
      <x:c r="F75" s="78" t="str">
        <x:v>Cada perfil acessa somente o necessário sem bloquear operação esperada.</x:v>
      </x:c>
      <x:c r="G75" s="77" t="str">
        <x:v>P1</x:v>
      </x:c>
      <x:c r="H75" s="77" t="str">
        <x:v>Não iniciado</x:v>
      </x:c>
      <x:c r="I75" s="79" t="n">
        <x:v>46279</x:v>
      </x:c>
      <x:c r="J75" s="79" t="n">
        <x:v>46279</x:v>
      </x:c>
      <x:c r="K75" s="77" t="str"/>
      <x:c r="L75" s="77" t="str"/>
      <x:c r="M75" s="77" t="str">
        <x:v>Sim</x:v>
      </x:c>
      <x:c r="N75" s="77" t="str">
        <x:v>Não</x:v>
      </x:c>
      <x:c r="O75" s="78" t="str"/>
      <x:c r="P75" s="78" t="str"/>
      <x:c r="Q75" s="61"/>
    </x:row>
    <x:row r="76">
      <x:c r="A76" s="77" t="str">
        <x:v>TST-003</x:v>
      </x:c>
      <x:c r="B76" s="77" t="str">
        <x:v>4. Testes reais</x:v>
      </x:c>
      <x:c r="C76" s="77" t="str">
        <x:v>Produtos</x:v>
      </x:c>
      <x:c r="D76" s="77" t="str">
        <x:v>Web + Mobile</x:v>
      </x:c>
      <x:c r="E76" s="78" t="str">
        <x:v>Cadastrar/editar/inativar/reativar produto</x:v>
      </x:c>
      <x:c r="F76" s="78" t="str">
        <x:v>Todas as alterações persistem e refletem no PDV/catalogo.</x:v>
      </x:c>
      <x:c r="G76" s="77" t="str">
        <x:v>P1</x:v>
      </x:c>
      <x:c r="H76" s="77" t="str">
        <x:v>Não iniciado</x:v>
      </x:c>
      <x:c r="I76" s="79" t="n">
        <x:v>46279</x:v>
      </x:c>
      <x:c r="J76" s="79" t="n">
        <x:v>46279</x:v>
      </x:c>
      <x:c r="K76" s="77" t="str"/>
      <x:c r="L76" s="77" t="str"/>
      <x:c r="M76" s="77" t="str">
        <x:v>Sim</x:v>
      </x:c>
      <x:c r="N76" s="77" t="str">
        <x:v>Não</x:v>
      </x:c>
      <x:c r="O76" s="78" t="str"/>
      <x:c r="P76" s="78" t="str"/>
      <x:c r="Q76" s="61"/>
    </x:row>
    <x:row r="77">
      <x:c r="A77" s="77" t="str">
        <x:v>TST-004</x:v>
      </x:c>
      <x:c r="B77" s="77" t="str">
        <x:v>4. Testes reais</x:v>
      </x:c>
      <x:c r="C77" s="77" t="str">
        <x:v>Clientes</x:v>
      </x:c>
      <x:c r="D77" s="77" t="str">
        <x:v>Web + Mobile</x:v>
      </x:c>
      <x:c r="E77" s="78" t="str">
        <x:v>Cadastrar/editar cliente com e sem fiado</x:v>
      </x:c>
      <x:c r="F77" s="78" t="str">
        <x:v>Dados persistem; regras de fiado são respeitadas.</x:v>
      </x:c>
      <x:c r="G77" s="77" t="str">
        <x:v>P1</x:v>
      </x:c>
      <x:c r="H77" s="77" t="str">
        <x:v>Não iniciado</x:v>
      </x:c>
      <x:c r="I77" s="79" t="n">
        <x:v>46279</x:v>
      </x:c>
      <x:c r="J77" s="79" t="n">
        <x:v>46279</x:v>
      </x:c>
      <x:c r="K77" s="77" t="str"/>
      <x:c r="L77" s="77" t="str"/>
      <x:c r="M77" s="77" t="str">
        <x:v>Sim</x:v>
      </x:c>
      <x:c r="N77" s="77" t="str">
        <x:v>Não</x:v>
      </x:c>
      <x:c r="O77" s="78" t="str"/>
      <x:c r="P77" s="78" t="str"/>
      <x:c r="Q77" s="61"/>
    </x:row>
    <x:row r="78">
      <x:c r="A78" s="77" t="str">
        <x:v>TST-005</x:v>
      </x:c>
      <x:c r="B78" s="77" t="str">
        <x:v>4. Testes reais</x:v>
      </x:c>
      <x:c r="C78" s="77" t="str">
        <x:v>Venda</x:v>
      </x:c>
      <x:c r="D78" s="77" t="str">
        <x:v>Web + Mobile</x:v>
      </x:c>
      <x:c r="E78" s="78" t="str">
        <x:v>Venda dinheiro Web</x:v>
      </x:c>
      <x:c r="F78" s="78" t="str">
        <x:v>Venda, estoque, pagamentos, recibo e Vendas corretos.</x:v>
      </x:c>
      <x:c r="G78" s="77" t="str">
        <x:v>P0</x:v>
      </x:c>
      <x:c r="H78" s="77" t="str">
        <x:v>Não iniciado</x:v>
      </x:c>
      <x:c r="I78" s="79" t="n">
        <x:v>46279</x:v>
      </x:c>
      <x:c r="J78" s="79" t="n">
        <x:v>46279</x:v>
      </x:c>
      <x:c r="K78" s="77" t="str"/>
      <x:c r="L78" s="77" t="str"/>
      <x:c r="M78" s="77" t="str">
        <x:v>Sim</x:v>
      </x:c>
      <x:c r="N78" s="77" t="str">
        <x:v>Não</x:v>
      </x:c>
      <x:c r="O78" s="78" t="str"/>
      <x:c r="P78" s="78" t="str"/>
      <x:c r="Q78" s="61"/>
    </x:row>
    <x:row r="79">
      <x:c r="A79" s="77" t="str">
        <x:v>TST-006</x:v>
      </x:c>
      <x:c r="B79" s="77" t="str">
        <x:v>4. Testes reais</x:v>
      </x:c>
      <x:c r="C79" s="77" t="str">
        <x:v>Venda</x:v>
      </x:c>
      <x:c r="D79" s="77" t="str">
        <x:v>Web + Mobile</x:v>
      </x:c>
      <x:c r="E79" s="78" t="str">
        <x:v>Venda dinheiro iPhone</x:v>
      </x:c>
      <x:c r="F79" s="78" t="str">
        <x:v>Mesmo resultado do Web.</x:v>
      </x:c>
      <x:c r="G79" s="77" t="str">
        <x:v>P0</x:v>
      </x:c>
      <x:c r="H79" s="77" t="str">
        <x:v>Não iniciado</x:v>
      </x:c>
      <x:c r="I79" s="79" t="n">
        <x:v>46279</x:v>
      </x:c>
      <x:c r="J79" s="79" t="n">
        <x:v>46279</x:v>
      </x:c>
      <x:c r="K79" s="77" t="str"/>
      <x:c r="L79" s="77" t="str"/>
      <x:c r="M79" s="77" t="str">
        <x:v>Sim</x:v>
      </x:c>
      <x:c r="N79" s="77" t="str">
        <x:v>Não</x:v>
      </x:c>
      <x:c r="O79" s="78" t="str"/>
      <x:c r="P79" s="78" t="str"/>
      <x:c r="Q79" s="61"/>
    </x:row>
    <x:row r="80">
      <x:c r="A80" s="77" t="str">
        <x:v>TST-007</x:v>
      </x:c>
      <x:c r="B80" s="77" t="str">
        <x:v>4. Testes reais</x:v>
      </x:c>
      <x:c r="C80" s="77" t="str">
        <x:v>Venda</x:v>
      </x:c>
      <x:c r="D80" s="77" t="str">
        <x:v>Web + Mobile</x:v>
      </x:c>
      <x:c r="E80" s="78" t="str">
        <x:v>Venda PIX</x:v>
      </x:c>
      <x:c r="F80" s="78" t="str">
        <x:v>Cobrança/registro e finalização sem duplicidade.</x:v>
      </x:c>
      <x:c r="G80" s="77" t="str">
        <x:v>P1</x:v>
      </x:c>
      <x:c r="H80" s="77" t="str">
        <x:v>Não iniciado</x:v>
      </x:c>
      <x:c r="I80" s="79" t="n">
        <x:v>46280</x:v>
      </x:c>
      <x:c r="J80" s="79" t="n">
        <x:v>46280</x:v>
      </x:c>
      <x:c r="K80" s="77" t="str"/>
      <x:c r="L80" s="77" t="str"/>
      <x:c r="M80" s="77" t="str">
        <x:v>Sim</x:v>
      </x:c>
      <x:c r="N80" s="77" t="str">
        <x:v>Não</x:v>
      </x:c>
      <x:c r="O80" s="78" t="str"/>
      <x:c r="P80" s="78" t="str"/>
      <x:c r="Q80" s="61"/>
    </x:row>
    <x:row r="81">
      <x:c r="A81" s="77" t="str">
        <x:v>TST-008</x:v>
      </x:c>
      <x:c r="B81" s="77" t="str">
        <x:v>4. Testes reais</x:v>
      </x:c>
      <x:c r="C81" s="77" t="str">
        <x:v>Venda</x:v>
      </x:c>
      <x:c r="D81" s="77" t="str">
        <x:v>Web + Mobile</x:v>
      </x:c>
      <x:c r="E81" s="78" t="str">
        <x:v>Venda cartão débito</x:v>
      </x:c>
      <x:c r="F81" s="78" t="str">
        <x:v>Pagamento e fiscal válidos.</x:v>
      </x:c>
      <x:c r="G81" s="77" t="str">
        <x:v>P1</x:v>
      </x:c>
      <x:c r="H81" s="77" t="str">
        <x:v>Não iniciado</x:v>
      </x:c>
      <x:c r="I81" s="79" t="n">
        <x:v>46280</x:v>
      </x:c>
      <x:c r="J81" s="79" t="n">
        <x:v>46280</x:v>
      </x:c>
      <x:c r="K81" s="77" t="str"/>
      <x:c r="L81" s="77" t="str"/>
      <x:c r="M81" s="77" t="str">
        <x:v>Sim</x:v>
      </x:c>
      <x:c r="N81" s="77" t="str">
        <x:v>Não</x:v>
      </x:c>
      <x:c r="O81" s="78" t="str"/>
      <x:c r="P81" s="78" t="str"/>
      <x:c r="Q81" s="61"/>
    </x:row>
    <x:row r="82">
      <x:c r="A82" s="77" t="str">
        <x:v>TST-009</x:v>
      </x:c>
      <x:c r="B82" s="77" t="str">
        <x:v>4. Testes reais</x:v>
      </x:c>
      <x:c r="C82" s="77" t="str">
        <x:v>Venda</x:v>
      </x:c>
      <x:c r="D82" s="77" t="str">
        <x:v>Web + Mobile</x:v>
      </x:c>
      <x:c r="E82" s="78" t="str">
        <x:v>Venda cartão crédito</x:v>
      </x:c>
      <x:c r="F82" s="78" t="str">
        <x:v>Pagamento e fiscal válidos.</x:v>
      </x:c>
      <x:c r="G82" s="77" t="str">
        <x:v>P1</x:v>
      </x:c>
      <x:c r="H82" s="77" t="str">
        <x:v>Não iniciado</x:v>
      </x:c>
      <x:c r="I82" s="79" t="n">
        <x:v>46280</x:v>
      </x:c>
      <x:c r="J82" s="79" t="n">
        <x:v>46280</x:v>
      </x:c>
      <x:c r="K82" s="77" t="str"/>
      <x:c r="L82" s="77" t="str"/>
      <x:c r="M82" s="77" t="str">
        <x:v>Sim</x:v>
      </x:c>
      <x:c r="N82" s="77" t="str">
        <x:v>Não</x:v>
      </x:c>
      <x:c r="O82" s="78" t="str"/>
      <x:c r="P82" s="78" t="str"/>
      <x:c r="Q82" s="61"/>
    </x:row>
    <x:row r="83">
      <x:c r="A83" s="77" t="str">
        <x:v>TST-010</x:v>
      </x:c>
      <x:c r="B83" s="77" t="str">
        <x:v>4. Testes reais</x:v>
      </x:c>
      <x:c r="C83" s="77" t="str">
        <x:v>Venda</x:v>
      </x:c>
      <x:c r="D83" s="77" t="str">
        <x:v>Web + Mobile</x:v>
      </x:c>
      <x:c r="E83" s="78" t="str">
        <x:v>Venda fiado</x:v>
      </x:c>
      <x:c r="F83" s="78" t="str">
        <x:v>Carteira criada corretamente em Web e Mobile.</x:v>
      </x:c>
      <x:c r="G83" s="77" t="str">
        <x:v>P0</x:v>
      </x:c>
      <x:c r="H83" s="77" t="str">
        <x:v>Não iniciado</x:v>
      </x:c>
      <x:c r="I83" s="79" t="n">
        <x:v>46280</x:v>
      </x:c>
      <x:c r="J83" s="79" t="n">
        <x:v>46280</x:v>
      </x:c>
      <x:c r="K83" s="77" t="str"/>
      <x:c r="L83" s="77" t="str"/>
      <x:c r="M83" s="77" t="str">
        <x:v>Sim</x:v>
      </x:c>
      <x:c r="N83" s="77" t="str">
        <x:v>Não</x:v>
      </x:c>
      <x:c r="O83" s="78" t="str"/>
      <x:c r="P83" s="78" t="str"/>
      <x:c r="Q83" s="61"/>
    </x:row>
    <x:row r="84">
      <x:c r="A84" s="77" t="str">
        <x:v>TST-011</x:v>
      </x:c>
      <x:c r="B84" s="77" t="str">
        <x:v>4. Testes reais</x:v>
      </x:c>
      <x:c r="C84" s="77" t="str">
        <x:v>Venda</x:v>
      </x:c>
      <x:c r="D84" s="77" t="str">
        <x:v>Web + Mobile</x:v>
      </x:c>
      <x:c r="E84" s="78" t="str">
        <x:v>Pagamento combinado</x:v>
      </x:c>
      <x:c r="F84" s="78" t="str">
        <x:v>Editar valores e finalizar com soma exata.</x:v>
      </x:c>
      <x:c r="G84" s="77" t="str">
        <x:v>P0</x:v>
      </x:c>
      <x:c r="H84" s="77" t="str">
        <x:v>Não iniciado</x:v>
      </x:c>
      <x:c r="I84" s="79" t="n">
        <x:v>46280</x:v>
      </x:c>
      <x:c r="J84" s="79" t="n">
        <x:v>46280</x:v>
      </x:c>
      <x:c r="K84" s="77" t="str"/>
      <x:c r="L84" s="77" t="str"/>
      <x:c r="M84" s="77" t="str">
        <x:v>Sim</x:v>
      </x:c>
      <x:c r="N84" s="77" t="str">
        <x:v>Não</x:v>
      </x:c>
      <x:c r="O84" s="78" t="str"/>
      <x:c r="P84" s="78" t="str"/>
      <x:c r="Q84" s="61"/>
    </x:row>
    <x:row r="85">
      <x:c r="A85" s="77" t="str">
        <x:v>TST-012</x:v>
      </x:c>
      <x:c r="B85" s="77" t="str">
        <x:v>4. Testes reais</x:v>
      </x:c>
      <x:c r="C85" s="77" t="str">
        <x:v>Carteira</x:v>
      </x:c>
      <x:c r="D85" s="77" t="str">
        <x:v>Web + Mobile</x:v>
      </x:c>
      <x:c r="E85" s="78" t="str">
        <x:v>Baixa total</x:v>
      </x:c>
      <x:c r="F85" s="78" t="str">
        <x:v>Saldo vai a zero e histórico permanece.</x:v>
      </x:c>
      <x:c r="G85" s="77" t="str">
        <x:v>P1</x:v>
      </x:c>
      <x:c r="H85" s="77" t="str">
        <x:v>Não iniciado</x:v>
      </x:c>
      <x:c r="I85" s="79" t="n">
        <x:v>46280</x:v>
      </x:c>
      <x:c r="J85" s="79" t="n">
        <x:v>46280</x:v>
      </x:c>
      <x:c r="K85" s="77" t="str"/>
      <x:c r="L85" s="77" t="str"/>
      <x:c r="M85" s="77" t="str">
        <x:v>Sim</x:v>
      </x:c>
      <x:c r="N85" s="77" t="str">
        <x:v>Não</x:v>
      </x:c>
      <x:c r="O85" s="78" t="str"/>
      <x:c r="P85" s="78" t="str"/>
      <x:c r="Q85" s="61"/>
    </x:row>
    <x:row r="86">
      <x:c r="A86" s="77" t="str">
        <x:v>TST-013</x:v>
      </x:c>
      <x:c r="B86" s="77" t="str">
        <x:v>4. Testes reais</x:v>
      </x:c>
      <x:c r="C86" s="77" t="str">
        <x:v>Carteira</x:v>
      </x:c>
      <x:c r="D86" s="77" t="str">
        <x:v>Web + Mobile</x:v>
      </x:c>
      <x:c r="E86" s="78" t="str">
        <x:v>Baixa parcial</x:v>
      </x:c>
      <x:c r="F86" s="78" t="str">
        <x:v>Saldo restante igual em Web/Mobile.</x:v>
      </x:c>
      <x:c r="G86" s="77" t="str">
        <x:v>P1</x:v>
      </x:c>
      <x:c r="H86" s="77" t="str">
        <x:v>Não iniciado</x:v>
      </x:c>
      <x:c r="I86" s="79" t="n">
        <x:v>46281</x:v>
      </x:c>
      <x:c r="J86" s="79" t="n">
        <x:v>46281</x:v>
      </x:c>
      <x:c r="K86" s="77" t="str"/>
      <x:c r="L86" s="77" t="str"/>
      <x:c r="M86" s="77" t="str">
        <x:v>Sim</x:v>
      </x:c>
      <x:c r="N86" s="77" t="str">
        <x:v>Não</x:v>
      </x:c>
      <x:c r="O86" s="78" t="str"/>
      <x:c r="P86" s="78" t="str"/>
      <x:c r="Q86" s="61"/>
    </x:row>
    <x:row r="87">
      <x:c r="A87" s="77" t="str">
        <x:v>TST-014</x:v>
      </x:c>
      <x:c r="B87" s="77" t="str">
        <x:v>4. Testes reais</x:v>
      </x:c>
      <x:c r="C87" s="77" t="str">
        <x:v>Carteira</x:v>
      </x:c>
      <x:c r="D87" s="77" t="str">
        <x:v>Web + Mobile</x:v>
      </x:c>
      <x:c r="E87" s="78" t="str">
        <x:v>Baixa por itens selecionados</x:v>
      </x:c>
      <x:c r="F87" s="78" t="str">
        <x:v>Somente itens escolhidos são baixados.</x:v>
      </x:c>
      <x:c r="G87" s="77" t="str">
        <x:v>P1</x:v>
      </x:c>
      <x:c r="H87" s="77" t="str">
        <x:v>Não iniciado</x:v>
      </x:c>
      <x:c r="I87" s="79" t="n">
        <x:v>46281</x:v>
      </x:c>
      <x:c r="J87" s="79" t="n">
        <x:v>46281</x:v>
      </x:c>
      <x:c r="K87" s="77" t="str"/>
      <x:c r="L87" s="77" t="str"/>
      <x:c r="M87" s="77" t="str">
        <x:v>Sim</x:v>
      </x:c>
      <x:c r="N87" s="77" t="str">
        <x:v>Não</x:v>
      </x:c>
      <x:c r="O87" s="78" t="str"/>
      <x:c r="P87" s="78" t="str"/>
      <x:c r="Q87" s="61"/>
    </x:row>
    <x:row r="88">
      <x:c r="A88" s="77" t="str">
        <x:v>TST-015</x:v>
      </x:c>
      <x:c r="B88" s="77" t="str">
        <x:v>4. Testes reais</x:v>
      </x:c>
      <x:c r="C88" s="77" t="str">
        <x:v>Carteira</x:v>
      </x:c>
      <x:c r="D88" s="77" t="str">
        <x:v>Web + Mobile</x:v>
      </x:c>
      <x:c r="E88" s="78" t="str">
        <x:v>Estorno de recebimento</x:v>
      </x:c>
      <x:c r="F88" s="78" t="str">
        <x:v>Saldo/histórico restaurados corretamente.</x:v>
      </x:c>
      <x:c r="G88" s="77" t="str">
        <x:v>P1</x:v>
      </x:c>
      <x:c r="H88" s="77" t="str">
        <x:v>Não iniciado</x:v>
      </x:c>
      <x:c r="I88" s="79" t="n">
        <x:v>46281</x:v>
      </x:c>
      <x:c r="J88" s="79" t="n">
        <x:v>46281</x:v>
      </x:c>
      <x:c r="K88" s="77" t="str"/>
      <x:c r="L88" s="77" t="str"/>
      <x:c r="M88" s="77" t="str">
        <x:v>Sim</x:v>
      </x:c>
      <x:c r="N88" s="77" t="str">
        <x:v>Não</x:v>
      </x:c>
      <x:c r="O88" s="78" t="str"/>
      <x:c r="P88" s="78" t="str"/>
      <x:c r="Q88" s="61"/>
    </x:row>
    <x:row r="89">
      <x:c r="A89" s="77" t="str">
        <x:v>TST-016</x:v>
      </x:c>
      <x:c r="B89" s="77" t="str">
        <x:v>4. Testes reais</x:v>
      </x:c>
      <x:c r="C89" s="77" t="str">
        <x:v>Carteira</x:v>
      </x:c>
      <x:c r="D89" s="77" t="str">
        <x:v>Web + Mobile</x:v>
      </x:c>
      <x:c r="E89" s="78" t="str">
        <x:v>Cancelamento de item</x:v>
      </x:c>
      <x:c r="F89" s="78" t="str">
        <x:v>Saldo/estoque ajustados conforme regra.</x:v>
      </x:c>
      <x:c r="G89" s="77" t="str">
        <x:v>P1</x:v>
      </x:c>
      <x:c r="H89" s="77" t="str">
        <x:v>Não iniciado</x:v>
      </x:c>
      <x:c r="I89" s="79" t="n">
        <x:v>46281</x:v>
      </x:c>
      <x:c r="J89" s="79" t="n">
        <x:v>46281</x:v>
      </x:c>
      <x:c r="K89" s="77" t="str"/>
      <x:c r="L89" s="77" t="str"/>
      <x:c r="M89" s="77" t="str">
        <x:v>Sim</x:v>
      </x:c>
      <x:c r="N89" s="77" t="str">
        <x:v>Não</x:v>
      </x:c>
      <x:c r="O89" s="78" t="str"/>
      <x:c r="P89" s="78" t="str"/>
      <x:c r="Q89" s="61"/>
    </x:row>
    <x:row r="90">
      <x:c r="A90" s="77" t="str">
        <x:v>TST-017</x:v>
      </x:c>
      <x:c r="B90" s="77" t="str">
        <x:v>4. Testes reais</x:v>
      </x:c>
      <x:c r="C90" s="77" t="str">
        <x:v>Vendas</x:v>
      </x:c>
      <x:c r="D90" s="77" t="str">
        <x:v>Web + Mobile</x:v>
      </x:c>
      <x:c r="E90" s="78" t="str">
        <x:v>Pesquisa e filtros de período</x:v>
      </x:c>
      <x:c r="F90" s="78" t="str">
        <x:v>Resultados e total corretos.</x:v>
      </x:c>
      <x:c r="G90" s="77" t="str">
        <x:v>P1</x:v>
      </x:c>
      <x:c r="H90" s="77" t="str">
        <x:v>Não iniciado</x:v>
      </x:c>
      <x:c r="I90" s="79" t="n">
        <x:v>46281</x:v>
      </x:c>
      <x:c r="J90" s="79" t="n">
        <x:v>46281</x:v>
      </x:c>
      <x:c r="K90" s="77" t="str"/>
      <x:c r="L90" s="77" t="str"/>
      <x:c r="M90" s="77" t="str">
        <x:v>Sim</x:v>
      </x:c>
      <x:c r="N90" s="77" t="str">
        <x:v>Não</x:v>
      </x:c>
      <x:c r="O90" s="78" t="str"/>
      <x:c r="P90" s="78" t="str"/>
      <x:c r="Q90" s="61"/>
    </x:row>
    <x:row r="91">
      <x:c r="A91" s="77" t="str">
        <x:v>TST-018</x:v>
      </x:c>
      <x:c r="B91" s="77" t="str">
        <x:v>4. Testes reais</x:v>
      </x:c>
      <x:c r="C91" s="77" t="str">
        <x:v>Recibo</x:v>
      </x:c>
      <x:c r="D91" s="77" t="str">
        <x:v>Web + Mobile</x:v>
      </x:c>
      <x:c r="E91" s="78" t="str">
        <x:v>Compartilhar recibo pós-venda iPhone</x:v>
      </x:c>
      <x:c r="F91" s="78" t="str">
        <x:v>Share sheet abre PDF válido.</x:v>
      </x:c>
      <x:c r="G91" s="77" t="str">
        <x:v>P1</x:v>
      </x:c>
      <x:c r="H91" s="77" t="str">
        <x:v>Não iniciado</x:v>
      </x:c>
      <x:c r="I91" s="79" t="n">
        <x:v>46281</x:v>
      </x:c>
      <x:c r="J91" s="79" t="n">
        <x:v>46281</x:v>
      </x:c>
      <x:c r="K91" s="77" t="str"/>
      <x:c r="L91" s="77" t="str"/>
      <x:c r="M91" s="77" t="str">
        <x:v>Sim</x:v>
      </x:c>
      <x:c r="N91" s="77" t="str">
        <x:v>Não</x:v>
      </x:c>
      <x:c r="O91" s="78" t="str"/>
      <x:c r="P91" s="78" t="str"/>
      <x:c r="Q91" s="61"/>
    </x:row>
    <x:row r="92">
      <x:c r="A92" s="77" t="str">
        <x:v>TST-019</x:v>
      </x:c>
      <x:c r="B92" s="77" t="str">
        <x:v>4. Testes reais</x:v>
      </x:c>
      <x:c r="C92" s="77" t="str">
        <x:v>Recibo</x:v>
      </x:c>
      <x:c r="D92" s="77" t="str">
        <x:v>Web + Mobile</x:v>
      </x:c>
      <x:c r="E92" s="78" t="str">
        <x:v>Compartilhar recibo de venda antiga</x:v>
      </x:c>
      <x:c r="F92" s="78" t="str">
        <x:v>Não refinaliza nem altera venda.</x:v>
      </x:c>
      <x:c r="G92" s="77" t="str">
        <x:v>P1</x:v>
      </x:c>
      <x:c r="H92" s="77" t="str">
        <x:v>Não iniciado</x:v>
      </x:c>
      <x:c r="I92" s="79" t="n">
        <x:v>46282</x:v>
      </x:c>
      <x:c r="J92" s="79" t="n">
        <x:v>46282</x:v>
      </x:c>
      <x:c r="K92" s="77" t="str"/>
      <x:c r="L92" s="77" t="str"/>
      <x:c r="M92" s="77" t="str">
        <x:v>Sim</x:v>
      </x:c>
      <x:c r="N92" s="77" t="str">
        <x:v>Não</x:v>
      </x:c>
      <x:c r="O92" s="78" t="str"/>
      <x:c r="P92" s="78" t="str"/>
      <x:c r="Q92" s="61"/>
    </x:row>
    <x:row r="93">
      <x:c r="A93" s="77" t="str">
        <x:v>TST-020</x:v>
      </x:c>
      <x:c r="B93" s="77" t="str">
        <x:v>4. Testes reais</x:v>
      </x:c>
      <x:c r="C93" s="77" t="str">
        <x:v>Estoque</x:v>
      </x:c>
      <x:c r="D93" s="77" t="str">
        <x:v>Web + Mobile</x:v>
      </x:c>
      <x:c r="E93" s="78" t="str">
        <x:v>Venda com estoque limite</x:v>
      </x:c>
      <x:c r="F93" s="78" t="str">
        <x:v>Bloqueio/resultado conforme regra sem estoque negativo indevido.</x:v>
      </x:c>
      <x:c r="G93" s="77" t="str">
        <x:v>P1</x:v>
      </x:c>
      <x:c r="H93" s="77" t="str">
        <x:v>Não iniciado</x:v>
      </x:c>
      <x:c r="I93" s="79" t="n">
        <x:v>46282</x:v>
      </x:c>
      <x:c r="J93" s="79" t="n">
        <x:v>46282</x:v>
      </x:c>
      <x:c r="K93" s="77" t="str"/>
      <x:c r="L93" s="77" t="str"/>
      <x:c r="M93" s="77" t="str">
        <x:v>Sim</x:v>
      </x:c>
      <x:c r="N93" s="77" t="str">
        <x:v>Não</x:v>
      </x:c>
      <x:c r="O93" s="78" t="str"/>
      <x:c r="P93" s="78" t="str"/>
      <x:c r="Q93" s="61"/>
    </x:row>
    <x:row r="94">
      <x:c r="A94" s="77" t="str">
        <x:v>TST-021</x:v>
      </x:c>
      <x:c r="B94" s="77" t="str">
        <x:v>4. Testes reais</x:v>
      </x:c>
      <x:c r="C94" s="77" t="str">
        <x:v>Fiscal</x:v>
      </x:c>
      <x:c r="D94" s="77" t="str">
        <x:v>Web + Mobile</x:v>
      </x:c>
      <x:c r="E94" s="78" t="str">
        <x:v>NFC-e autorizada</x:v>
      </x:c>
      <x:c r="F94" s="78" t="str">
        <x:v>Número, XML, protocolo e status corretos.</x:v>
      </x:c>
      <x:c r="G94" s="77" t="str">
        <x:v>P0</x:v>
      </x:c>
      <x:c r="H94" s="77" t="str">
        <x:v>Não iniciado</x:v>
      </x:c>
      <x:c r="I94" s="79" t="n">
        <x:v>46282</x:v>
      </x:c>
      <x:c r="J94" s="79" t="n">
        <x:v>46282</x:v>
      </x:c>
      <x:c r="K94" s="77" t="str"/>
      <x:c r="L94" s="77" t="str"/>
      <x:c r="M94" s="77" t="str">
        <x:v>Sim</x:v>
      </x:c>
      <x:c r="N94" s="77" t="str">
        <x:v>Não</x:v>
      </x:c>
      <x:c r="O94" s="78" t="str"/>
      <x:c r="P94" s="78" t="str"/>
      <x:c r="Q94" s="61"/>
    </x:row>
    <x:row r="95">
      <x:c r="A95" s="77" t="str">
        <x:v>TST-022</x:v>
      </x:c>
      <x:c r="B95" s="77" t="str">
        <x:v>4. Testes reais</x:v>
      </x:c>
      <x:c r="C95" s="77" t="str">
        <x:v>Fiscal</x:v>
      </x:c>
      <x:c r="D95" s="77" t="str">
        <x:v>Web + Mobile</x:v>
      </x:c>
      <x:c r="E95" s="78" t="str">
        <x:v>NF-e autorizada</x:v>
      </x:c>
      <x:c r="F95" s="78" t="str">
        <x:v>Número, XML, protocolo e status corretos.</x:v>
      </x:c>
      <x:c r="G95" s="77" t="str">
        <x:v>P0</x:v>
      </x:c>
      <x:c r="H95" s="77" t="str">
        <x:v>Não iniciado</x:v>
      </x:c>
      <x:c r="I95" s="79" t="n">
        <x:v>46282</x:v>
      </x:c>
      <x:c r="J95" s="79" t="n">
        <x:v>46282</x:v>
      </x:c>
      <x:c r="K95" s="77" t="str"/>
      <x:c r="L95" s="77" t="str"/>
      <x:c r="M95" s="77" t="str">
        <x:v>Sim</x:v>
      </x:c>
      <x:c r="N95" s="77" t="str">
        <x:v>Não</x:v>
      </x:c>
      <x:c r="O95" s="78" t="str"/>
      <x:c r="P95" s="78" t="str"/>
      <x:c r="Q95" s="61"/>
    </x:row>
    <x:row r="96">
      <x:c r="A96" s="77" t="str">
        <x:v>TST-023</x:v>
      </x:c>
      <x:c r="B96" s="77" t="str">
        <x:v>4. Testes reais</x:v>
      </x:c>
      <x:c r="C96" s="77" t="str">
        <x:v>Fiscal</x:v>
      </x:c>
      <x:c r="D96" s="77" t="str">
        <x:v>Web + Mobile</x:v>
      </x:c>
      <x:c r="E96" s="78" t="str">
        <x:v>Simular comunicação ambígua</x:v>
      </x:c>
      <x:c r="F96" s="78" t="str">
        <x:v>Estado aguardando reconciliação e nenhum reenvio automático.</x:v>
      </x:c>
      <x:c r="G96" s="77" t="str">
        <x:v>P0</x:v>
      </x:c>
      <x:c r="H96" s="77" t="str">
        <x:v>Não iniciado</x:v>
      </x:c>
      <x:c r="I96" s="79" t="n">
        <x:v>46282</x:v>
      </x:c>
      <x:c r="J96" s="79" t="n">
        <x:v>46282</x:v>
      </x:c>
      <x:c r="K96" s="77" t="str"/>
      <x:c r="L96" s="77" t="str"/>
      <x:c r="M96" s="77" t="str">
        <x:v>Sim</x:v>
      </x:c>
      <x:c r="N96" s="77" t="str">
        <x:v>Não</x:v>
      </x:c>
      <x:c r="O96" s="78" t="str"/>
      <x:c r="P96" s="78" t="str"/>
      <x:c r="Q96" s="61"/>
    </x:row>
    <x:row r="97">
      <x:c r="A97" s="77" t="str">
        <x:v>TST-024</x:v>
      </x:c>
      <x:c r="B97" s="77" t="str">
        <x:v>4. Testes reais</x:v>
      </x:c>
      <x:c r="C97" s="77" t="str">
        <x:v>Fiscal</x:v>
      </x:c>
      <x:c r="D97" s="77" t="str">
        <x:v>Web + Mobile</x:v>
      </x:c>
      <x:c r="E97" s="78" t="str">
        <x:v>Cancelamento fiscal</x:v>
      </x:c>
      <x:c r="F97" s="78" t="str">
        <x:v>Evento e reflexos esperados.</x:v>
      </x:c>
      <x:c r="G97" s="77" t="str">
        <x:v>P1</x:v>
      </x:c>
      <x:c r="H97" s="77" t="str">
        <x:v>Não iniciado</x:v>
      </x:c>
      <x:c r="I97" s="79" t="n">
        <x:v>46282</x:v>
      </x:c>
      <x:c r="J97" s="79" t="n">
        <x:v>46282</x:v>
      </x:c>
      <x:c r="K97" s="77" t="str"/>
      <x:c r="L97" s="77" t="str"/>
      <x:c r="M97" s="77" t="str">
        <x:v>Sim</x:v>
      </x:c>
      <x:c r="N97" s="77" t="str">
        <x:v>Não</x:v>
      </x:c>
      <x:c r="O97" s="78" t="str"/>
      <x:c r="P97" s="78" t="str"/>
      <x:c r="Q97" s="61"/>
    </x:row>
    <x:row r="98">
      <x:c r="A98" s="77" t="str">
        <x:v>TST-025</x:v>
      </x:c>
      <x:c r="B98" s="77" t="str">
        <x:v>4. Testes reais</x:v>
      </x:c>
      <x:c r="C98" s="77" t="str">
        <x:v>Impressão</x:v>
      </x:c>
      <x:c r="D98" s="77" t="str">
        <x:v>Web</x:v>
      </x:c>
      <x:c r="E98" s="78" t="str">
        <x:v>Imprimir recibo em impressora selecionada</x:v>
      </x:c>
      <x:c r="F98" s="78" t="str">
        <x:v>Sai na impressora escolhida.</x:v>
      </x:c>
      <x:c r="G98" s="77" t="str">
        <x:v>P1</x:v>
      </x:c>
      <x:c r="H98" s="77" t="str">
        <x:v>Não iniciado</x:v>
      </x:c>
      <x:c r="I98" s="79" t="n">
        <x:v>46283</x:v>
      </x:c>
      <x:c r="J98" s="79" t="n">
        <x:v>46283</x:v>
      </x:c>
      <x:c r="K98" s="77" t="str"/>
      <x:c r="L98" s="77" t="str"/>
      <x:c r="M98" s="77" t="str">
        <x:v>Sim</x:v>
      </x:c>
      <x:c r="N98" s="77" t="str">
        <x:v>Não</x:v>
      </x:c>
      <x:c r="O98" s="78" t="str"/>
      <x:c r="P98" s="78" t="str"/>
      <x:c r="Q98" s="61"/>
    </x:row>
    <x:row r="99">
      <x:c r="A99" s="77" t="str">
        <x:v>TST-026</x:v>
      </x:c>
      <x:c r="B99" s="77" t="str">
        <x:v>4. Testes reais</x:v>
      </x:c>
      <x:c r="C99" s="77" t="str">
        <x:v>Rede</x:v>
      </x:c>
      <x:c r="D99" s="77" t="str">
        <x:v>Web + Mobile</x:v>
      </x:c>
      <x:c r="E99" s="78" t="str">
        <x:v>Desligar rede durante finalização mobile</x:v>
      </x:c>
      <x:c r="F99" s="78" t="str">
        <x:v>Não duplica venda; recuperação controlada.</x:v>
      </x:c>
      <x:c r="G99" s="77" t="str">
        <x:v>P0</x:v>
      </x:c>
      <x:c r="H99" s="77" t="str">
        <x:v>Não iniciado</x:v>
      </x:c>
      <x:c r="I99" s="79" t="n">
        <x:v>46283</x:v>
      </x:c>
      <x:c r="J99" s="79" t="n">
        <x:v>46283</x:v>
      </x:c>
      <x:c r="K99" s="77" t="str"/>
      <x:c r="L99" s="77" t="str"/>
      <x:c r="M99" s="77" t="str">
        <x:v>Sim</x:v>
      </x:c>
      <x:c r="N99" s="77" t="str">
        <x:v>Não</x:v>
      </x:c>
      <x:c r="O99" s="78" t="str"/>
      <x:c r="P99" s="78" t="str"/>
      <x:c r="Q99" s="61"/>
    </x:row>
    <x:row r="100">
      <x:c r="A100" s="77" t="str">
        <x:v>TST-027</x:v>
      </x:c>
      <x:c r="B100" s="77" t="str">
        <x:v>4. Testes reais</x:v>
      </x:c>
      <x:c r="C100" s="77" t="str">
        <x:v>Rede</x:v>
      </x:c>
      <x:c r="D100" s="77" t="str">
        <x:v>Web + Mobile</x:v>
      </x:c>
      <x:c r="E100" s="78" t="str">
        <x:v>Fechar app durante finalização</x:v>
      </x:c>
      <x:c r="F100" s="78" t="str">
        <x:v>Reabertura não cria venda duplicada.</x:v>
      </x:c>
      <x:c r="G100" s="77" t="str">
        <x:v>P0</x:v>
      </x:c>
      <x:c r="H100" s="77" t="str">
        <x:v>Não iniciado</x:v>
      </x:c>
      <x:c r="I100" s="79" t="n">
        <x:v>46283</x:v>
      </x:c>
      <x:c r="J100" s="79" t="n">
        <x:v>46283</x:v>
      </x:c>
      <x:c r="K100" s="77" t="str"/>
      <x:c r="L100" s="77" t="str"/>
      <x:c r="M100" s="77" t="str">
        <x:v>Sim</x:v>
      </x:c>
      <x:c r="N100" s="77" t="str">
        <x:v>Não</x:v>
      </x:c>
      <x:c r="O100" s="78" t="str"/>
      <x:c r="P100" s="78" t="str"/>
      <x:c r="Q100" s="61"/>
    </x:row>
    <x:row r="101">
      <x:c r="A101" s="77" t="str">
        <x:v>TST-028</x:v>
      </x:c>
      <x:c r="B101" s="77" t="str">
        <x:v>4. Testes reais</x:v>
      </x:c>
      <x:c r="C101" s="77" t="str">
        <x:v>Idempotência</x:v>
      </x:c>
      <x:c r="D101" s="77" t="str">
        <x:v>Web + Mobile</x:v>
      </x:c>
      <x:c r="E101" s="78" t="str">
        <x:v>Tocar duas vezes em finalizar</x:v>
      </x:c>
      <x:c r="F101" s="78" t="str">
        <x:v>Uma única venda é criada.</x:v>
      </x:c>
      <x:c r="G101" s="77" t="str">
        <x:v>P0</x:v>
      </x:c>
      <x:c r="H101" s="77" t="str">
        <x:v>Não iniciado</x:v>
      </x:c>
      <x:c r="I101" s="79" t="n">
        <x:v>46283</x:v>
      </x:c>
      <x:c r="J101" s="79" t="n">
        <x:v>46283</x:v>
      </x:c>
      <x:c r="K101" s="77" t="str"/>
      <x:c r="L101" s="77" t="str"/>
      <x:c r="M101" s="77" t="str">
        <x:v>Sim</x:v>
      </x:c>
      <x:c r="N101" s="77" t="str">
        <x:v>Não</x:v>
      </x:c>
      <x:c r="O101" s="78" t="str"/>
      <x:c r="P101" s="78" t="str"/>
      <x:c r="Q101" s="61"/>
    </x:row>
    <x:row r="102">
      <x:c r="A102" s="77" t="str">
        <x:v>TST-029</x:v>
      </x:c>
      <x:c r="B102" s="77" t="str">
        <x:v>4. Testes reais</x:v>
      </x:c>
      <x:c r="C102" s="77" t="str">
        <x:v>Segurança</x:v>
      </x:c>
      <x:c r="D102" s="77" t="str">
        <x:v>Web + Mobile</x:v>
      </x:c>
      <x:c r="E102" s="78" t="str">
        <x:v>Tentar acessar venda/recibo de outra empresa</x:v>
      </x:c>
      <x:c r="F102" s="78" t="str">
        <x:v>Acesso negado sem vazar dados.</x:v>
      </x:c>
      <x:c r="G102" s="77" t="str">
        <x:v>P0</x:v>
      </x:c>
      <x:c r="H102" s="77" t="str">
        <x:v>Não iniciado</x:v>
      </x:c>
      <x:c r="I102" s="79" t="n">
        <x:v>46283</x:v>
      </x:c>
      <x:c r="J102" s="79" t="n">
        <x:v>46283</x:v>
      </x:c>
      <x:c r="K102" s="77" t="str"/>
      <x:c r="L102" s="77" t="str"/>
      <x:c r="M102" s="77" t="str">
        <x:v>Sim</x:v>
      </x:c>
      <x:c r="N102" s="77" t="str">
        <x:v>Não</x:v>
      </x:c>
      <x:c r="O102" s="78" t="str"/>
      <x:c r="P102" s="78" t="str"/>
      <x:c r="Q102" s="61"/>
    </x:row>
    <x:row r="103">
      <x:c r="A103" s="77" t="str">
        <x:v>TST-030</x:v>
      </x:c>
      <x:c r="B103" s="77" t="str">
        <x:v>4. Testes reais</x:v>
      </x:c>
      <x:c r="C103" s="77" t="str">
        <x:v>Sessão</x:v>
      </x:c>
      <x:c r="D103" s="77" t="str">
        <x:v>Web + Mobile</x:v>
      </x:c>
      <x:c r="E103" s="78" t="str">
        <x:v>Expirar sessão mobile</x:v>
      </x:c>
      <x:c r="F103" s="78" t="str">
        <x:v>App exige novo login sem comportamento inconsistente.</x:v>
      </x:c>
      <x:c r="G103" s="77" t="str">
        <x:v>P1</x:v>
      </x:c>
      <x:c r="H103" s="77" t="str">
        <x:v>Não iniciado</x:v>
      </x:c>
      <x:c r="I103" s="79" t="n">
        <x:v>46283</x:v>
      </x:c>
      <x:c r="J103" s="79" t="n">
        <x:v>46283</x:v>
      </x:c>
      <x:c r="K103" s="77" t="str"/>
      <x:c r="L103" s="77" t="str"/>
      <x:c r="M103" s="77" t="str">
        <x:v>Sim</x:v>
      </x:c>
      <x:c r="N103" s="77" t="str">
        <x:v>Não</x:v>
      </x:c>
      <x:c r="O103" s="78" t="str"/>
      <x:c r="P103" s="78" t="str"/>
      <x:c r="Q103" s="61"/>
    </x:row>
    <x:row r="104">
      <x:c r="A104" s="77" t="str">
        <x:v>TST-031</x:v>
      </x:c>
      <x:c r="B104" s="77" t="str">
        <x:v>4. Testes reais</x:v>
      </x:c>
      <x:c r="C104" s="77" t="str">
        <x:v>Importação</x:v>
      </x:c>
      <x:c r="D104" s="77" t="str">
        <x:v>Web + Mobile</x:v>
      </x:c>
      <x:c r="E104" s="78" t="str">
        <x:v>Importar planilha com linhas válidas e inválidas</x:v>
      </x:c>
      <x:c r="F104" s="78" t="str">
        <x:v>Revisão clara; somente dados aprovados entram na empresa ativa.</x:v>
      </x:c>
      <x:c r="G104" s="77" t="str">
        <x:v>P1</x:v>
      </x:c>
      <x:c r="H104" s="77" t="str">
        <x:v>Não iniciado</x:v>
      </x:c>
      <x:c r="I104" s="79" t="n">
        <x:v>46284</x:v>
      </x:c>
      <x:c r="J104" s="79" t="n">
        <x:v>46284</x:v>
      </x:c>
      <x:c r="K104" s="77" t="str"/>
      <x:c r="L104" s="77" t="str"/>
      <x:c r="M104" s="77" t="str">
        <x:v>Sim</x:v>
      </x:c>
      <x:c r="N104" s="77" t="str">
        <x:v>Não</x:v>
      </x:c>
      <x:c r="O104" s="78" t="str"/>
      <x:c r="P104" s="78" t="str"/>
      <x:c r="Q104" s="61"/>
    </x:row>
    <x:row r="105">
      <x:c r="A105" s="77" t="str">
        <x:v>TST-032</x:v>
      </x:c>
      <x:c r="B105" s="77" t="str">
        <x:v>4. Testes reais</x:v>
      </x:c>
      <x:c r="C105" s="77" t="str">
        <x:v>Navegação</x:v>
      </x:c>
      <x:c r="D105" s="77" t="str">
        <x:v>Web + Mobile</x:v>
      </x:c>
      <x:c r="E105" s="78" t="str">
        <x:v>Usar app por 30 minutos no iPhone</x:v>
      </x:c>
      <x:c r="F105" s="78" t="str">
        <x:v>Sem travamentos, telas quebradas ou loops de navegação.</x:v>
      </x:c>
      <x:c r="G105" s="77" t="str">
        <x:v>P1</x:v>
      </x:c>
      <x:c r="H105" s="77" t="str">
        <x:v>Não iniciado</x:v>
      </x:c>
      <x:c r="I105" s="79" t="n">
        <x:v>46284</x:v>
      </x:c>
      <x:c r="J105" s="79" t="n">
        <x:v>46284</x:v>
      </x:c>
      <x:c r="K105" s="77" t="str"/>
      <x:c r="L105" s="77" t="str"/>
      <x:c r="M105" s="77" t="str">
        <x:v>Sim</x:v>
      </x:c>
      <x:c r="N105" s="77" t="str">
        <x:v>Não</x:v>
      </x:c>
      <x:c r="O105" s="78" t="str"/>
      <x:c r="P105" s="78" t="str"/>
      <x:c r="Q105" s="61"/>
    </x:row>
    <x:row r="106">
      <x:c r="A106" s="77" t="str">
        <x:v>TST-033</x:v>
      </x:c>
      <x:c r="B106" s="77" t="str">
        <x:v>4. Testes reais</x:v>
      </x:c>
      <x:c r="C106" s="77" t="str">
        <x:v>Piloto</x:v>
      </x:c>
      <x:c r="D106" s="77" t="str">
        <x:v>Operação</x:v>
      </x:c>
      <x:c r="E106" s="78" t="str">
        <x:v>Rodar um dia de operação simulada sem intervenção no banco</x:v>
      </x:c>
      <x:c r="F106" s="78" t="str">
        <x:v>Todas as correções são feitas pelo produto; nenhuma edição manual de tabela para completar operação.</x:v>
      </x:c>
      <x:c r="G106" s="77" t="str">
        <x:v>P0</x:v>
      </x:c>
      <x:c r="H106" s="77" t="str">
        <x:v>Não iniciado</x:v>
      </x:c>
      <x:c r="I106" s="79" t="n">
        <x:v>46283</x:v>
      </x:c>
      <x:c r="J106" s="79" t="n">
        <x:v>46283</x:v>
      </x:c>
      <x:c r="K106" s="77" t="str"/>
      <x:c r="L106" s="77" t="str"/>
      <x:c r="M106" s="77" t="str">
        <x:v>Sim</x:v>
      </x:c>
      <x:c r="N106" s="77" t="str">
        <x:v>Não</x:v>
      </x:c>
      <x:c r="O106" s="78" t="str"/>
      <x:c r="P106" s="78" t="str"/>
      <x:c r="Q106" s="61"/>
    </x:row>
    <x:row r="107">
      <x:c r="A107" s="77" t="str">
        <x:v>TST-034</x:v>
      </x:c>
      <x:c r="B107" s="77" t="str">
        <x:v>4. Testes reais</x:v>
      </x:c>
      <x:c r="C107" s="77" t="str">
        <x:v>Piloto</x:v>
      </x:c>
      <x:c r="D107" s="77" t="str">
        <x:v>Operação</x:v>
      </x:c>
      <x:c r="E107" s="78" t="str">
        <x:v>Rodar piloto com usuário que não desenvolveu o sistema</x:v>
      </x:c>
      <x:c r="F107" s="78" t="str">
        <x:v>Pessoa consegue cadastrar, vender, receber, consultar e imprimir seguindo a UI/documentação.</x:v>
      </x:c>
      <x:c r="G107" s="77" t="str">
        <x:v>P1</x:v>
      </x:c>
      <x:c r="H107" s="77" t="str">
        <x:v>Não iniciado</x:v>
      </x:c>
      <x:c r="I107" s="79" t="n">
        <x:v>46283</x:v>
      </x:c>
      <x:c r="J107" s="79" t="n">
        <x:v>46284</x:v>
      </x:c>
      <x:c r="K107" s="77" t="str"/>
      <x:c r="L107" s="77" t="str"/>
      <x:c r="M107" s="77" t="str">
        <x:v>Sim</x:v>
      </x:c>
      <x:c r="N107" s="77" t="str">
        <x:v>Não</x:v>
      </x:c>
      <x:c r="O107" s="78" t="str"/>
      <x:c r="P107" s="78" t="str"/>
      <x:c r="Q107" s="61"/>
    </x:row>
    <x:row r="108">
      <x:c r="A108" s="77" t="str">
        <x:v>TST-035</x:v>
      </x:c>
      <x:c r="B108" s="77" t="str">
        <x:v>4. Testes reais</x:v>
      </x:c>
      <x:c r="C108" s="77" t="str">
        <x:v>Gate</x:v>
      </x:c>
      <x:c r="D108" s="77" t="str">
        <x:v>Operação</x:v>
      </x:c>
      <x:c r="E108" s="78" t="str">
        <x:v>Gate de saída da fase de testes</x:v>
      </x:c>
      <x:c r="F108" s="78" t="str">
        <x:v>Zero P0 abertos; P1 restantes têm plano/aceite explícito; build/release candidata identificada.</x:v>
      </x:c>
      <x:c r="G108" s="77" t="str">
        <x:v>P0</x:v>
      </x:c>
      <x:c r="H108" s="77" t="str">
        <x:v>Não iniciado</x:v>
      </x:c>
      <x:c r="I108" s="79" t="n">
        <x:v>46284</x:v>
      </x:c>
      <x:c r="J108" s="79" t="n">
        <x:v>46284</x:v>
      </x:c>
      <x:c r="K108" s="77" t="str">
        <x:v>TST-033</x:v>
      </x:c>
      <x:c r="L108" s="77" t="str"/>
      <x:c r="M108" s="77" t="str">
        <x:v>Sim</x:v>
      </x:c>
      <x:c r="N108" s="77" t="str">
        <x:v>Não</x:v>
      </x:c>
      <x:c r="O108" s="78" t="str"/>
      <x:c r="P108" s="78" t="str"/>
      <x:c r="Q108" s="61"/>
    </x:row>
    <x:row r="109">
      <x:c r="A109" s="77" t="str">
        <x:v>REL-001</x:v>
      </x:c>
      <x:c r="B109" s="77" t="str">
        <x:v>5. Produção e freeze</x:v>
      </x:c>
      <x:c r="C109" s="77" t="str">
        <x:v>Freeze</x:v>
      </x:c>
      <x:c r="D109" s="77" t="str">
        <x:v>Operação</x:v>
      </x:c>
      <x:c r="E109" s="78" t="str">
        <x:v>Congelamento de funcionalidades</x:v>
      </x:c>
      <x:c r="F109" s="78" t="str">
        <x:v>A partir de 20/09 só entram correções de bugs e ajustes indispensáveis ao lançamento.</x:v>
      </x:c>
      <x:c r="G109" s="77" t="str">
        <x:v>P0</x:v>
      </x:c>
      <x:c r="H109" s="77" t="str">
        <x:v>Não iniciado</x:v>
      </x:c>
      <x:c r="I109" s="79" t="n">
        <x:v>46285</x:v>
      </x:c>
      <x:c r="J109" s="79" t="n">
        <x:v>46285</x:v>
      </x:c>
      <x:c r="K109" s="77" t="str"/>
      <x:c r="L109" s="77" t="str"/>
      <x:c r="M109" s="77" t="str">
        <x:v>Sim</x:v>
      </x:c>
      <x:c r="N109" s="77" t="str">
        <x:v>Não</x:v>
      </x:c>
      <x:c r="O109" s="78" t="str"/>
      <x:c r="P109" s="78" t="str"/>
      <x:c r="Q109" s="61"/>
    </x:row>
    <x:row r="110">
      <x:c r="A110" s="77" t="str">
        <x:v>REL-002</x:v>
      </x:c>
      <x:c r="B110" s="77" t="str">
        <x:v>5. Produção e freeze</x:v>
      </x:c>
      <x:c r="C110" s="77" t="str">
        <x:v>Deploy</x:v>
      </x:c>
      <x:c r="D110" s="77" t="str">
        <x:v>Infra</x:v>
      </x:c>
      <x:c r="E110" s="78" t="str">
        <x:v>Validar domínio ultrapdv.app e HTTPS</x:v>
      </x:c>
      <x:c r="F110" s="78" t="str">
        <x:v>Domínio resolve produção, certificado válido e redirecionamentos corretos.</x:v>
      </x:c>
      <x:c r="G110" s="77" t="str">
        <x:v>P0</x:v>
      </x:c>
      <x:c r="H110" s="77" t="str">
        <x:v>Não iniciado</x:v>
      </x:c>
      <x:c r="I110" s="79" t="n">
        <x:v>46285</x:v>
      </x:c>
      <x:c r="J110" s="79" t="n">
        <x:v>46285</x:v>
      </x:c>
      <x:c r="K110" s="77" t="str"/>
      <x:c r="L110" s="77" t="str"/>
      <x:c r="M110" s="77" t="str">
        <x:v>Sim</x:v>
      </x:c>
      <x:c r="N110" s="77" t="str">
        <x:v>Não</x:v>
      </x:c>
      <x:c r="O110" s="78" t="str"/>
      <x:c r="P110" s="78" t="str"/>
      <x:c r="Q110" s="61"/>
    </x:row>
    <x:row r="111">
      <x:c r="A111" s="77" t="str">
        <x:v>REL-003</x:v>
      </x:c>
      <x:c r="B111" s="77" t="str">
        <x:v>5. Produção e freeze</x:v>
      </x:c>
      <x:c r="C111" s="77" t="str">
        <x:v>Deploy</x:v>
      </x:c>
      <x:c r="D111" s="77" t="str">
        <x:v>Infra</x:v>
      </x:c>
      <x:c r="E111" s="78" t="str">
        <x:v>Revisar variáveis de ambiente de produção</x:v>
      </x:c>
      <x:c r="F111" s="78" t="str">
        <x:v>Supabase, Geranet, PIX e demais integrações apontam para ambiente correto; nenhum segredo público.</x:v>
      </x:c>
      <x:c r="G111" s="77" t="str">
        <x:v>P0</x:v>
      </x:c>
      <x:c r="H111" s="77" t="str">
        <x:v>Não iniciado</x:v>
      </x:c>
      <x:c r="I111" s="79" t="n">
        <x:v>46285</x:v>
      </x:c>
      <x:c r="J111" s="79" t="n">
        <x:v>46285</x:v>
      </x:c>
      <x:c r="K111" s="77" t="str"/>
      <x:c r="L111" s="77" t="str"/>
      <x:c r="M111" s="77" t="str">
        <x:v>Sim</x:v>
      </x:c>
      <x:c r="N111" s="77" t="str">
        <x:v>Não</x:v>
      </x:c>
      <x:c r="O111" s="78" t="str"/>
      <x:c r="P111" s="78" t="str"/>
      <x:c r="Q111" s="61"/>
    </x:row>
    <x:row r="112">
      <x:c r="A112" s="77" t="str">
        <x:v>REL-004</x:v>
      </x:c>
      <x:c r="B112" s="77" t="str">
        <x:v>5. Produção e freeze</x:v>
      </x:c>
      <x:c r="C112" s="77" t="str">
        <x:v>Banco</x:v>
      </x:c>
      <x:c r="D112" s="77" t="str">
        <x:v>Backend/Banco</x:v>
      </x:c>
      <x:c r="E112" s="78" t="str">
        <x:v>Revisar migrations aplicadas em produção</x:v>
      </x:c>
      <x:c r="F112" s="78" t="str">
        <x:v>Histórico consistente; nenhuma migration pendente essencial; sem uso de db reset.</x:v>
      </x:c>
      <x:c r="G112" s="77" t="str">
        <x:v>P0</x:v>
      </x:c>
      <x:c r="H112" s="77" t="str">
        <x:v>Não iniciado</x:v>
      </x:c>
      <x:c r="I112" s="79" t="n">
        <x:v>46285</x:v>
      </x:c>
      <x:c r="J112" s="79" t="n">
        <x:v>46286</x:v>
      </x:c>
      <x:c r="K112" s="77" t="str"/>
      <x:c r="L112" s="77" t="str"/>
      <x:c r="M112" s="77" t="str">
        <x:v>Sim</x:v>
      </x:c>
      <x:c r="N112" s="77" t="str">
        <x:v>Não</x:v>
      </x:c>
      <x:c r="O112" s="78" t="str"/>
      <x:c r="P112" s="78" t="str"/>
      <x:c r="Q112" s="61"/>
    </x:row>
    <x:row r="113">
      <x:c r="A113" s="77" t="str">
        <x:v>REL-005</x:v>
      </x:c>
      <x:c r="B113" s="77" t="str">
        <x:v>5. Produção e freeze</x:v>
      </x:c>
      <x:c r="C113" s="77" t="str">
        <x:v>Banco</x:v>
      </x:c>
      <x:c r="D113" s="77" t="str">
        <x:v>Backend/Banco</x:v>
      </x:c>
      <x:c r="E113" s="78" t="str">
        <x:v>Backup final pré-lançamento</x:v>
      </x:c>
      <x:c r="F113" s="78" t="str">
        <x:v>Backup criado e procedimento de restore conferido.</x:v>
      </x:c>
      <x:c r="G113" s="77" t="str">
        <x:v>P0</x:v>
      </x:c>
      <x:c r="H113" s="77" t="str">
        <x:v>Não iniciado</x:v>
      </x:c>
      <x:c r="I113" s="79" t="n">
        <x:v>46286</x:v>
      </x:c>
      <x:c r="J113" s="79" t="n">
        <x:v>46286</x:v>
      </x:c>
      <x:c r="K113" s="77" t="str">
        <x:v>ORG-005</x:v>
      </x:c>
      <x:c r="L113" s="77" t="str"/>
      <x:c r="M113" s="77" t="str">
        <x:v>Sim</x:v>
      </x:c>
      <x:c r="N113" s="77" t="str">
        <x:v>Não</x:v>
      </x:c>
      <x:c r="O113" s="78" t="str"/>
      <x:c r="P113" s="78" t="str"/>
      <x:c r="Q113" s="61"/>
    </x:row>
    <x:row r="114">
      <x:c r="A114" s="77" t="str">
        <x:v>REL-006</x:v>
      </x:c>
      <x:c r="B114" s="77" t="str">
        <x:v>5. Produção e freeze</x:v>
      </x:c>
      <x:c r="C114" s="77" t="str">
        <x:v>Segurança</x:v>
      </x:c>
      <x:c r="D114" s="77" t="str">
        <x:v>Backend/Banco</x:v>
      </x:c>
      <x:c r="E114" s="78" t="str">
        <x:v>Revisão final de RLS e multiempresa</x:v>
      </x:c>
      <x:c r="F114" s="78" t="str">
        <x:v>Tabelas/rotas críticas isoladas por empresa e autenticadas.</x:v>
      </x:c>
      <x:c r="G114" s="77" t="str">
        <x:v>P0</x:v>
      </x:c>
      <x:c r="H114" s="77" t="str">
        <x:v>Não iniciado</x:v>
      </x:c>
      <x:c r="I114" s="79" t="n">
        <x:v>46286</x:v>
      </x:c>
      <x:c r="J114" s="79" t="n">
        <x:v>46287</x:v>
      </x:c>
      <x:c r="K114" s="77" t="str"/>
      <x:c r="L114" s="77" t="str"/>
      <x:c r="M114" s="77" t="str">
        <x:v>Sim</x:v>
      </x:c>
      <x:c r="N114" s="77" t="str">
        <x:v>Não</x:v>
      </x:c>
      <x:c r="O114" s="78" t="str"/>
      <x:c r="P114" s="78" t="str"/>
      <x:c r="Q114" s="61"/>
    </x:row>
    <x:row r="115">
      <x:c r="A115" s="77" t="str">
        <x:v>REL-007</x:v>
      </x:c>
      <x:c r="B115" s="77" t="str">
        <x:v>5. Produção e freeze</x:v>
      </x:c>
      <x:c r="C115" s="77" t="str">
        <x:v>Onboarding</x:v>
      </x:c>
      <x:c r="D115" s="77" t="str">
        <x:v>Web</x:v>
      </x:c>
      <x:c r="E115" s="78" t="str">
        <x:v>Criar nova empresa do zero em produção controlada</x:v>
      </x:c>
      <x:c r="F115" s="78" t="str">
        <x:v>Cadastro → onboarding → empresa ativa → sistema vazio e operacional sem ajuste manual.</x:v>
      </x:c>
      <x:c r="G115" s="77" t="str">
        <x:v>P0</x:v>
      </x:c>
      <x:c r="H115" s="77" t="str">
        <x:v>Não iniciado</x:v>
      </x:c>
      <x:c r="I115" s="79" t="n">
        <x:v>46286</x:v>
      </x:c>
      <x:c r="J115" s="79" t="n">
        <x:v>46287</x:v>
      </x:c>
      <x:c r="K115" s="77" t="str"/>
      <x:c r="L115" s="77" t="str"/>
      <x:c r="M115" s="77" t="str">
        <x:v>Sim</x:v>
      </x:c>
      <x:c r="N115" s="77" t="str">
        <x:v>Não</x:v>
      </x:c>
      <x:c r="O115" s="78" t="str"/>
      <x:c r="P115" s="78" t="str"/>
      <x:c r="Q115" s="61"/>
    </x:row>
    <x:row r="116">
      <x:c r="A116" s="77" t="str">
        <x:v>REL-008</x:v>
      </x:c>
      <x:c r="B116" s="77" t="str">
        <x:v>5. Produção e freeze</x:v>
      </x:c>
      <x:c r="C116" s="77" t="str">
        <x:v>SaaS</x:v>
      </x:c>
      <x:c r="D116" s="77" t="str">
        <x:v>Web</x:v>
      </x:c>
      <x:c r="E116" s="78" t="str">
        <x:v>Validar plano/assinatura mínimo para vender o sistema</x:v>
      </x:c>
      <x:c r="F116" s="78" t="str">
        <x:v>Fluxo escolhido para ativar empresa é claro e não depende de empresas.ativo/perfil master incorretamente.</x:v>
      </x:c>
      <x:c r="G116" s="77" t="str">
        <x:v>P1</x:v>
      </x:c>
      <x:c r="H116" s="77" t="str">
        <x:v>Não iniciado</x:v>
      </x:c>
      <x:c r="I116" s="79" t="n">
        <x:v>46286</x:v>
      </x:c>
      <x:c r="J116" s="79" t="n">
        <x:v>46287</x:v>
      </x:c>
      <x:c r="K116" s="77" t="str"/>
      <x:c r="L116" s="77" t="str"/>
      <x:c r="M116" s="77" t="str">
        <x:v>Sim</x:v>
      </x:c>
      <x:c r="N116" s="77" t="str">
        <x:v>Não</x:v>
      </x:c>
      <x:c r="O116" s="78" t="str"/>
      <x:c r="P116" s="78" t="str"/>
      <x:c r="Q116" s="61"/>
    </x:row>
    <x:row r="117">
      <x:c r="A117" s="77" t="str">
        <x:v>REL-009</x:v>
      </x:c>
      <x:c r="B117" s="77" t="str">
        <x:v>5. Produção e freeze</x:v>
      </x:c>
      <x:c r="C117" s="77" t="str">
        <x:v>Monitoramento</x:v>
      </x:c>
      <x:c r="D117" s="77" t="str">
        <x:v>Infra</x:v>
      </x:c>
      <x:c r="E117" s="78" t="str">
        <x:v>Definir como detectar erros em produção</x:v>
      </x:c>
      <x:c r="F117" s="78" t="str">
        <x:v>Logs/erros críticos podem ser consultados rapidamente; responsáveis sabem onde olhar.</x:v>
      </x:c>
      <x:c r="G117" s="77" t="str">
        <x:v>P1</x:v>
      </x:c>
      <x:c r="H117" s="77" t="str">
        <x:v>Não iniciado</x:v>
      </x:c>
      <x:c r="I117" s="79" t="n">
        <x:v>46287</x:v>
      </x:c>
      <x:c r="J117" s="79" t="n">
        <x:v>46287</x:v>
      </x:c>
      <x:c r="K117" s="77" t="str"/>
      <x:c r="L117" s="77" t="str"/>
      <x:c r="M117" s="77" t="str">
        <x:v>Sim</x:v>
      </x:c>
      <x:c r="N117" s="77" t="str">
        <x:v>Não</x:v>
      </x:c>
      <x:c r="O117" s="78" t="str"/>
      <x:c r="P117" s="78" t="str"/>
      <x:c r="Q117" s="61"/>
    </x:row>
    <x:row r="118">
      <x:c r="A118" s="77" t="str">
        <x:v>REL-010</x:v>
      </x:c>
      <x:c r="B118" s="77" t="str">
        <x:v>5. Produção e freeze</x:v>
      </x:c>
      <x:c r="C118" s="77" t="str">
        <x:v>Suporte</x:v>
      </x:c>
      <x:c r="D118" s="77" t="str">
        <x:v>Operação</x:v>
      </x:c>
      <x:c r="E118" s="78" t="str">
        <x:v>Definir canal de suporte do lançamento</x:v>
      </x:c>
      <x:c r="F118" s="78" t="str">
        <x:v>Cliente sabe onde pedir ajuda e existe responsável/horário de resposta.</x:v>
      </x:c>
      <x:c r="G118" s="77" t="str">
        <x:v>P1</x:v>
      </x:c>
      <x:c r="H118" s="77" t="str">
        <x:v>Não iniciado</x:v>
      </x:c>
      <x:c r="I118" s="79" t="n">
        <x:v>46287</x:v>
      </x:c>
      <x:c r="J118" s="79" t="n">
        <x:v>46287</x:v>
      </x:c>
      <x:c r="K118" s="77" t="str"/>
      <x:c r="L118" s="77" t="str"/>
      <x:c r="M118" s="77" t="str">
        <x:v>Sim</x:v>
      </x:c>
      <x:c r="N118" s="77" t="str">
        <x:v>Não</x:v>
      </x:c>
      <x:c r="O118" s="78" t="str"/>
      <x:c r="P118" s="78" t="str"/>
      <x:c r="Q118" s="61"/>
    </x:row>
    <x:row r="119">
      <x:c r="A119" s="77" t="str">
        <x:v>REL-011</x:v>
      </x:c>
      <x:c r="B119" s="77" t="str">
        <x:v>5. Produção e freeze</x:v>
      </x:c>
      <x:c r="C119" s="77" t="str">
        <x:v>Documentação</x:v>
      </x:c>
      <x:c r="D119" s="77" t="str">
        <x:v>Operação</x:v>
      </x:c>
      <x:c r="E119" s="78" t="str">
        <x:v>Criar guia rápido de primeiros passos</x:v>
      </x:c>
      <x:c r="F119" s="78" t="str">
        <x:v>Documento cobre empresa, produtos, clientes, venda, recebimento e impressão.</x:v>
      </x:c>
      <x:c r="G119" s="77" t="str">
        <x:v>P1</x:v>
      </x:c>
      <x:c r="H119" s="77" t="str">
        <x:v>Não iniciado</x:v>
      </x:c>
      <x:c r="I119" s="79" t="n">
        <x:v>46287</x:v>
      </x:c>
      <x:c r="J119" s="79" t="n">
        <x:v>46288</x:v>
      </x:c>
      <x:c r="K119" s="77" t="str"/>
      <x:c r="L119" s="77" t="str"/>
      <x:c r="M119" s="77" t="str">
        <x:v>Sim</x:v>
      </x:c>
      <x:c r="N119" s="77" t="str">
        <x:v>Não</x:v>
      </x:c>
      <x:c r="O119" s="78" t="str"/>
      <x:c r="P119" s="78" t="str"/>
      <x:c r="Q119" s="61"/>
    </x:row>
    <x:row r="120">
      <x:c r="A120" s="77" t="str">
        <x:v>REL-012</x:v>
      </x:c>
      <x:c r="B120" s="77" t="str">
        <x:v>5. Produção e freeze</x:v>
      </x:c>
      <x:c r="C120" s="77" t="str">
        <x:v>Legal</x:v>
      </x:c>
      <x:c r="D120" s="77" t="str">
        <x:v>Operação</x:v>
      </x:c>
      <x:c r="E120" s="78" t="str">
        <x:v>Revisar Termos de Uso e Política de Privacidade</x:v>
      </x:c>
      <x:c r="F120" s="78" t="str">
        <x:v>Documentos publicados e coerentes com dados tratados e canais do produto.</x:v>
      </x:c>
      <x:c r="G120" s="77" t="str">
        <x:v>P1</x:v>
      </x:c>
      <x:c r="H120" s="77" t="str">
        <x:v>Não iniciado</x:v>
      </x:c>
      <x:c r="I120" s="79" t="n">
        <x:v>46287</x:v>
      </x:c>
      <x:c r="J120" s="79" t="n">
        <x:v>46288</x:v>
      </x:c>
      <x:c r="K120" s="77" t="str"/>
      <x:c r="L120" s="77" t="str"/>
      <x:c r="M120" s="77" t="str">
        <x:v>Sim</x:v>
      </x:c>
      <x:c r="N120" s="77" t="str">
        <x:v>Não</x:v>
      </x:c>
      <x:c r="O120" s="78" t="str"/>
      <x:c r="P120" s="78" t="str"/>
      <x:c r="Q120" s="61"/>
    </x:row>
    <x:row r="121">
      <x:c r="A121" s="77" t="str">
        <x:v>REL-013</x:v>
      </x:c>
      <x:c r="B121" s="77" t="str">
        <x:v>5. Produção e freeze</x:v>
      </x:c>
      <x:c r="C121" s="77" t="str">
        <x:v>Mobile release</x:v>
      </x:c>
      <x:c r="D121" s="77" t="str">
        <x:v>Mobile</x:v>
      </x:c>
      <x:c r="E121" s="78" t="str">
        <x:v>Configurar build de produção do app, se entrar no lançamento</x:v>
      </x:c>
      <x:c r="F121" s="78" t="str">
        <x:v>Bundle ID, ícone, splash, env de produção e permissões corretos; build instalável fora do Expo Go.</x:v>
      </x:c>
      <x:c r="G121" s="77" t="str">
        <x:v>P0</x:v>
      </x:c>
      <x:c r="H121" s="77" t="str">
        <x:v>Não iniciado</x:v>
      </x:c>
      <x:c r="I121" s="79" t="n">
        <x:v>46279</x:v>
      </x:c>
      <x:c r="J121" s="79" t="n">
        <x:v>46285</x:v>
      </x:c>
      <x:c r="K121" s="77" t="str">
        <x:v>ORG-006</x:v>
      </x:c>
      <x:c r="L121" s="77" t="str"/>
      <x:c r="M121" s="77" t="str">
        <x:v>Sim</x:v>
      </x:c>
      <x:c r="N121" s="77" t="str">
        <x:v>Não</x:v>
      </x:c>
      <x:c r="O121" s="78" t="str"/>
      <x:c r="P121" s="78" t="str"/>
      <x:c r="Q121" s="61"/>
    </x:row>
    <x:row r="122">
      <x:c r="A122" s="77" t="str">
        <x:v>REL-014</x:v>
      </x:c>
      <x:c r="B122" s="77" t="str">
        <x:v>5. Produção e freeze</x:v>
      </x:c>
      <x:c r="C122" s="77" t="str">
        <x:v>Mobile release</x:v>
      </x:c>
      <x:c r="D122" s="77" t="str">
        <x:v>Mobile</x:v>
      </x:c>
      <x:c r="E122" s="78" t="str">
        <x:v>TestFlight/App Store, se aplicável</x:v>
      </x:c>
      <x:c r="F122" s="78" t="str">
        <x:v>Build enviada com antecedência, metadados/privacidade preenchidos e versão aprovada ou estratégia beta definida.</x:v>
      </x:c>
      <x:c r="G122" s="77" t="str">
        <x:v>P0</x:v>
      </x:c>
      <x:c r="H122" s="77" t="str">
        <x:v>Não iniciado</x:v>
      </x:c>
      <x:c r="I122" s="79" t="n">
        <x:v>46279</x:v>
      </x:c>
      <x:c r="J122" s="79" t="n">
        <x:v>46288</x:v>
      </x:c>
      <x:c r="K122" s="77" t="str">
        <x:v>ORG-006</x:v>
      </x:c>
      <x:c r="L122" s="77" t="str"/>
      <x:c r="M122" s="77" t="str">
        <x:v>Sim</x:v>
      </x:c>
      <x:c r="N122" s="77" t="str">
        <x:v>Não</x:v>
      </x:c>
      <x:c r="O122" s="78" t="str"/>
      <x:c r="P122" s="78" t="str"/>
      <x:c r="Q122" s="61"/>
    </x:row>
    <x:row r="123">
      <x:c r="A123" s="77" t="str">
        <x:v>REL-015</x:v>
      </x:c>
      <x:c r="B123" s="77" t="str">
        <x:v>5. Produção e freeze</x:v>
      </x:c>
      <x:c r="C123" s="77" t="str">
        <x:v>Release</x:v>
      </x:c>
      <x:c r="D123" s="77" t="str">
        <x:v>Web + Mobile</x:v>
      </x:c>
      <x:c r="E123" s="78" t="str">
        <x:v>Criar release candidate final</x:v>
      </x:c>
      <x:c r="F123" s="78" t="str">
        <x:v>Commit/tag identificados; testes finais passam; artefatos de produção correspondem ao commit aprovado.</x:v>
      </x:c>
      <x:c r="G123" s="77" t="str">
        <x:v>P0</x:v>
      </x:c>
      <x:c r="H123" s="77" t="str">
        <x:v>Não iniciado</x:v>
      </x:c>
      <x:c r="I123" s="79" t="n">
        <x:v>46288</x:v>
      </x:c>
      <x:c r="J123" s="79" t="n">
        <x:v>46288</x:v>
      </x:c>
      <x:c r="K123" s="77" t="str">
        <x:v>TST-035</x:v>
      </x:c>
      <x:c r="L123" s="77" t="str"/>
      <x:c r="M123" s="77" t="str">
        <x:v>Sim</x:v>
      </x:c>
      <x:c r="N123" s="77" t="str">
        <x:v>Não</x:v>
      </x:c>
      <x:c r="O123" s="78" t="str"/>
      <x:c r="P123" s="78" t="str"/>
      <x:c r="Q123" s="61"/>
    </x:row>
    <x:row r="124">
      <x:c r="A124" s="77" t="str">
        <x:v>REL-016</x:v>
      </x:c>
      <x:c r="B124" s="77" t="str">
        <x:v>5. Produção e freeze</x:v>
      </x:c>
      <x:c r="C124" s="77" t="str">
        <x:v>Rollback</x:v>
      </x:c>
      <x:c r="D124" s="77" t="str">
        <x:v>Infra</x:v>
      </x:c>
      <x:c r="E124" s="78" t="str">
        <x:v>Plano de rollback</x:v>
      </x:c>
      <x:c r="F124" s="78" t="str">
        <x:v>Há passos claros para voltar app/web e tratar migration em caso de falha crítica.</x:v>
      </x:c>
      <x:c r="G124" s="77" t="str">
        <x:v>P0</x:v>
      </x:c>
      <x:c r="H124" s="77" t="str">
        <x:v>Não iniciado</x:v>
      </x:c>
      <x:c r="I124" s="79" t="n">
        <x:v>46288</x:v>
      </x:c>
      <x:c r="J124" s="79" t="n">
        <x:v>46288</x:v>
      </x:c>
      <x:c r="K124" s="77" t="str"/>
      <x:c r="L124" s="77" t="str"/>
      <x:c r="M124" s="77" t="str">
        <x:v>Sim</x:v>
      </x:c>
      <x:c r="N124" s="77" t="str">
        <x:v>Não</x:v>
      </x:c>
      <x:c r="O124" s="78" t="str"/>
      <x:c r="P124" s="78" t="str"/>
      <x:c r="Q124" s="61"/>
    </x:row>
    <x:row r="125">
      <x:c r="A125" s="77" t="str">
        <x:v>REL-017</x:v>
      </x:c>
      <x:c r="B125" s="77" t="str">
        <x:v>5. Produção e freeze</x:v>
      </x:c>
      <x:c r="C125" s="77" t="str">
        <x:v>Smoke test</x:v>
      </x:c>
      <x:c r="D125" s="77" t="str">
        <x:v>Web + Mobile</x:v>
      </x:c>
      <x:c r="E125" s="78" t="str">
        <x:v>Smoke test final em produção</x:v>
      </x:c>
      <x:c r="F125" s="78" t="str">
        <x:v>Login, empresa, produto, cliente, venda, carteira, fiscal/recibo e impressão essenciais passam.</x:v>
      </x:c>
      <x:c r="G125" s="77" t="str">
        <x:v>P0</x:v>
      </x:c>
      <x:c r="H125" s="77" t="str">
        <x:v>Não iniciado</x:v>
      </x:c>
      <x:c r="I125" s="79" t="n">
        <x:v>46289</x:v>
      </x:c>
      <x:c r="J125" s="79" t="n">
        <x:v>46289</x:v>
      </x:c>
      <x:c r="K125" s="77" t="str">
        <x:v>REL-015</x:v>
      </x:c>
      <x:c r="L125" s="77" t="str"/>
      <x:c r="M125" s="77" t="str">
        <x:v>Sim</x:v>
      </x:c>
      <x:c r="N125" s="77" t="str">
        <x:v>Não</x:v>
      </x:c>
      <x:c r="O125" s="78" t="str"/>
      <x:c r="P125" s="78" t="str"/>
      <x:c r="Q125" s="61"/>
    </x:row>
    <x:row r="126">
      <x:c r="A126" s="77" t="str">
        <x:v>REL-018</x:v>
      </x:c>
      <x:c r="B126" s="77" t="str">
        <x:v>5. Produção e freeze</x:v>
      </x:c>
      <x:c r="C126" s="77" t="str">
        <x:v>Gate</x:v>
      </x:c>
      <x:c r="D126" s="77" t="str">
        <x:v>Operação</x:v>
      </x:c>
      <x:c r="E126" s="78" t="str">
        <x:v>Go/No-Go de 24/09</x:v>
      </x:c>
      <x:c r="F126" s="78" t="str">
        <x:v>Zero P0; backup ok; deploy ok; suporte pronto; decisão formal GO registrada.</x:v>
      </x:c>
      <x:c r="G126" s="77" t="str">
        <x:v>P0</x:v>
      </x:c>
      <x:c r="H126" s="77" t="str">
        <x:v>Não iniciado</x:v>
      </x:c>
      <x:c r="I126" s="79" t="n">
        <x:v>46289</x:v>
      </x:c>
      <x:c r="J126" s="79" t="n">
        <x:v>46289</x:v>
      </x:c>
      <x:c r="K126" s="77" t="str">
        <x:v>REL-017</x:v>
      </x:c>
      <x:c r="L126" s="77" t="str"/>
      <x:c r="M126" s="77" t="str">
        <x:v>Sim</x:v>
      </x:c>
      <x:c r="N126" s="77" t="str">
        <x:v>Não</x:v>
      </x:c>
      <x:c r="O126" s="78" t="str"/>
      <x:c r="P126" s="78" t="str"/>
      <x:c r="Q126" s="61"/>
    </x:row>
    <x:row r="127">
      <x:c r="A127" s="77" t="str">
        <x:v>LNC-001</x:v>
      </x:c>
      <x:c r="B127" s="77" t="str">
        <x:v>6. Lançamento</x:v>
      </x:c>
      <x:c r="C127" s="77" t="str">
        <x:v>Lançamento</x:v>
      </x:c>
      <x:c r="D127" s="77" t="str">
        <x:v>Operação</x:v>
      </x:c>
      <x:c r="E127" s="78" t="str">
        <x:v>Publicar/abrir UltraPDV em 25/09</x:v>
      </x:c>
      <x:c r="F127" s="78" t="str">
        <x:v>Versão aprovada disponível para usuários-alvo; canais e onboarding ativos.</x:v>
      </x:c>
      <x:c r="G127" s="77" t="str">
        <x:v>P0</x:v>
      </x:c>
      <x:c r="H127" s="77" t="str">
        <x:v>Não iniciado</x:v>
      </x:c>
      <x:c r="I127" s="79" t="n">
        <x:v>46290</x:v>
      </x:c>
      <x:c r="J127" s="79" t="n">
        <x:v>46290</x:v>
      </x:c>
      <x:c r="K127" s="77" t="str">
        <x:v>REL-018</x:v>
      </x:c>
      <x:c r="L127" s="77" t="str"/>
      <x:c r="M127" s="77" t="str">
        <x:v>Sim</x:v>
      </x:c>
      <x:c r="N127" s="77" t="str">
        <x:v>Não</x:v>
      </x:c>
      <x:c r="O127" s="78" t="str"/>
      <x:c r="P127" s="78" t="str"/>
      <x:c r="Q127" s="61"/>
    </x:row>
    <x:row r="128">
      <x:c r="A128" s="77" t="str">
        <x:v>LNC-002</x:v>
      </x:c>
      <x:c r="B128" s="77" t="str">
        <x:v>6. Lançamento</x:v>
      </x:c>
      <x:c r="C128" s="77" t="str">
        <x:v>Monitoramento</x:v>
      </x:c>
      <x:c r="D128" s="77" t="str">
        <x:v>Operação</x:v>
      </x:c>
      <x:c r="E128" s="78" t="str">
        <x:v>Acompanhar primeiras vendas/usuários</x:v>
      </x:c>
      <x:c r="F128" s="78" t="str">
        <x:v>Verificar erros, lentidão, emissão fiscal, carteira e impressão nas primeiras horas.</x:v>
      </x:c>
      <x:c r="G128" s="77" t="str">
        <x:v>P0</x:v>
      </x:c>
      <x:c r="H128" s="77" t="str">
        <x:v>Não iniciado</x:v>
      </x:c>
      <x:c r="I128" s="79" t="n">
        <x:v>46290</x:v>
      </x:c>
      <x:c r="J128" s="79" t="n">
        <x:v>46290</x:v>
      </x:c>
      <x:c r="K128" s="77" t="str">
        <x:v>LNC-001</x:v>
      </x:c>
      <x:c r="L128" s="77" t="str"/>
      <x:c r="M128" s="77" t="str">
        <x:v>Sim</x:v>
      </x:c>
      <x:c r="N128" s="77" t="str">
        <x:v>Não</x:v>
      </x:c>
      <x:c r="O128" s="78" t="str"/>
      <x:c r="P128" s="78" t="str"/>
      <x:c r="Q128" s="61"/>
    </x:row>
    <x:row r="129">
      <x:c r="A129" s="77" t="str">
        <x:v>LNC-003</x:v>
      </x:c>
      <x:c r="B129" s="77" t="str">
        <x:v>6. Lançamento</x:v>
      </x:c>
      <x:c r="C129" s="77" t="str">
        <x:v>Suporte</x:v>
      </x:c>
      <x:c r="D129" s="77" t="str">
        <x:v>Operação</x:v>
      </x:c>
      <x:c r="E129" s="78" t="str">
        <x:v>Registrar incidentes do dia 1</x:v>
      </x:c>
      <x:c r="F129" s="78" t="str">
        <x:v>Cada problema entra em Bugs com prioridade, evidência, responsável e decisão de correção.</x:v>
      </x:c>
      <x:c r="G129" s="77" t="str">
        <x:v>P0</x:v>
      </x:c>
      <x:c r="H129" s="77" t="str">
        <x:v>Não iniciado</x:v>
      </x:c>
      <x:c r="I129" s="79" t="n">
        <x:v>46290</x:v>
      </x:c>
      <x:c r="J129" s="79" t="n">
        <x:v>46290</x:v>
      </x:c>
      <x:c r="K129" s="77" t="str">
        <x:v>LNC-001</x:v>
      </x:c>
      <x:c r="L129" s="77" t="str"/>
      <x:c r="M129" s="77" t="str">
        <x:v>Sim</x:v>
      </x:c>
      <x:c r="N129" s="77" t="str">
        <x:v>Não</x:v>
      </x:c>
      <x:c r="O129" s="78" t="str"/>
      <x:c r="P129" s="78" t="str"/>
      <x:c r="Q129" s="61"/>
    </x:row>
    <x:row r="130">
      <x:c r="A130" s="77" t="str">
        <x:v>LNC-004</x:v>
      </x:c>
      <x:c r="B130" s="77" t="str">
        <x:v>6. Lançamento</x:v>
      </x:c>
      <x:c r="C130" s="77" t="str">
        <x:v>Retrospectiva</x:v>
      </x:c>
      <x:c r="D130" s="77" t="str">
        <x:v>Operação</x:v>
      </x:c>
      <x:c r="E130" s="78" t="str">
        <x:v>Fechar checklist do lançamento e mover pendências P2 para backlog</x:v>
      </x:c>
      <x:c r="F130" s="78" t="str">
        <x:v>Itens não críticos ficam documentados e não se perdem após o lançamento.</x:v>
      </x:c>
      <x:c r="G130" s="77" t="str">
        <x:v>P1</x:v>
      </x:c>
      <x:c r="H130" s="77" t="str">
        <x:v>Não iniciado</x:v>
      </x:c>
      <x:c r="I130" s="79" t="n">
        <x:v>46290</x:v>
      </x:c>
      <x:c r="J130" s="79" t="n">
        <x:v>46291</x:v>
      </x:c>
      <x:c r="K130" s="77" t="str">
        <x:v>LNC-001</x:v>
      </x:c>
      <x:c r="L130" s="77" t="str"/>
      <x:c r="M130" s="77" t="str">
        <x:v>Sim</x:v>
      </x:c>
      <x:c r="N130" s="77" t="str">
        <x:v>Não</x:v>
      </x:c>
      <x:c r="O130" s="78" t="str"/>
      <x:c r="P130" s="78" t="str"/>
      <x:c r="Q130" s="61"/>
    </x:row>
    <x:row r="131">
      <x:c r="A131" s="61"/>
      <x:c r="B131" s="61"/>
      <x:c r="C131" s="61"/>
      <x:c r="D131" s="61"/>
      <x:c r="E131" s="61"/>
      <x:c r="F131" s="61"/>
      <x:c r="G131" s="61"/>
      <x:c r="H131" s="61"/>
      <x:c r="I131" s="61"/>
      <x:c r="J131" s="61"/>
      <x:c r="K131" s="61"/>
      <x:c r="L131" s="61"/>
      <x:c r="M131" s="61"/>
      <x:c r="N131" s="61"/>
      <x:c r="O131" s="61"/>
      <x:c r="P131" s="61"/>
      <x:c r="Q131" s="61"/>
    </x:row>
    <x:row r="132">
      <x:c r="A132" s="61"/>
      <x:c r="B132" s="61"/>
      <x:c r="C132" s="61"/>
      <x:c r="D132" s="61"/>
      <x:c r="E132" s="61"/>
      <x:c r="F132" s="61"/>
      <x:c r="G132" s="61"/>
      <x:c r="H132" s="61"/>
      <x:c r="I132" s="61"/>
      <x:c r="J132" s="61"/>
      <x:c r="K132" s="61"/>
      <x:c r="L132" s="61"/>
      <x:c r="M132" s="61"/>
      <x:c r="N132" s="61"/>
      <x:c r="O132" s="61"/>
      <x:c r="P132" s="61"/>
      <x:c r="Q132" s="61"/>
    </x:row>
    <x:row r="133">
      <x:c r="A133" s="61"/>
      <x:c r="B133" s="61"/>
      <x:c r="C133" s="61"/>
      <x:c r="D133" s="61"/>
      <x:c r="E133" s="61"/>
      <x:c r="F133" s="61"/>
      <x:c r="G133" s="61"/>
      <x:c r="H133" s="61"/>
      <x:c r="I133" s="61"/>
      <x:c r="J133" s="61"/>
      <x:c r="K133" s="61"/>
      <x:c r="L133" s="61"/>
      <x:c r="M133" s="61"/>
      <x:c r="N133" s="61"/>
      <x:c r="O133" s="61"/>
      <x:c r="P133" s="61"/>
      <x:c r="Q133" s="61"/>
    </x:row>
    <x:row r="134">
      <x:c r="A134" s="61"/>
      <x:c r="B134" s="61"/>
      <x:c r="C134" s="61"/>
      <x:c r="D134" s="61"/>
      <x:c r="E134" s="61"/>
      <x:c r="F134" s="61"/>
      <x:c r="G134" s="61"/>
      <x:c r="H134" s="61"/>
      <x:c r="I134" s="61"/>
      <x:c r="J134" s="61"/>
      <x:c r="K134" s="61"/>
      <x:c r="L134" s="61"/>
      <x:c r="M134" s="61"/>
      <x:c r="N134" s="61"/>
      <x:c r="O134" s="61"/>
      <x:c r="P134" s="61"/>
      <x:c r="Q134" s="61"/>
    </x:row>
    <x:row r="135">
      <x:c r="A135" s="61"/>
      <x:c r="B135" s="61"/>
      <x:c r="C135" s="61"/>
      <x:c r="D135" s="61"/>
      <x:c r="E135" s="61"/>
      <x:c r="F135" s="61"/>
      <x:c r="G135" s="61"/>
      <x:c r="H135" s="61"/>
      <x:c r="I135" s="61"/>
      <x:c r="J135" s="61"/>
      <x:c r="K135" s="61"/>
      <x:c r="L135" s="61"/>
      <x:c r="M135" s="61"/>
      <x:c r="N135" s="61"/>
      <x:c r="O135" s="61"/>
      <x:c r="P135" s="61"/>
      <x:c r="Q135" s="61"/>
    </x:row>
    <x:row r="136">
      <x:c r="A136" s="61"/>
      <x:c r="B136" s="61"/>
      <x:c r="C136" s="61"/>
      <x:c r="D136" s="61"/>
      <x:c r="E136" s="61"/>
      <x:c r="F136" s="61"/>
      <x:c r="G136" s="61"/>
      <x:c r="H136" s="61"/>
      <x:c r="I136" s="61"/>
      <x:c r="J136" s="61"/>
      <x:c r="K136" s="61"/>
      <x:c r="L136" s="61"/>
      <x:c r="M136" s="61"/>
      <x:c r="N136" s="61"/>
      <x:c r="O136" s="61"/>
      <x:c r="P136" s="61"/>
      <x:c r="Q136" s="61"/>
    </x:row>
    <x:row r="137">
      <x:c r="A137" s="61"/>
      <x:c r="B137" s="61"/>
      <x:c r="C137" s="61"/>
      <x:c r="D137" s="61"/>
      <x:c r="E137" s="61"/>
      <x:c r="F137" s="61"/>
      <x:c r="G137" s="61"/>
      <x:c r="H137" s="61"/>
      <x:c r="I137" s="61"/>
      <x:c r="J137" s="61"/>
      <x:c r="K137" s="61"/>
      <x:c r="L137" s="61"/>
      <x:c r="M137" s="61"/>
      <x:c r="N137" s="61"/>
      <x:c r="O137" s="61"/>
      <x:c r="P137" s="61"/>
      <x:c r="Q137" s="61"/>
    </x:row>
    <x:row r="138">
      <x:c r="A138" s="61"/>
      <x:c r="B138" s="61"/>
      <x:c r="C138" s="61"/>
      <x:c r="D138" s="61"/>
      <x:c r="E138" s="61"/>
      <x:c r="F138" s="61"/>
      <x:c r="G138" s="61"/>
      <x:c r="H138" s="61"/>
      <x:c r="I138" s="61"/>
      <x:c r="J138" s="61"/>
      <x:c r="K138" s="61"/>
      <x:c r="L138" s="61"/>
      <x:c r="M138" s="61"/>
      <x:c r="N138" s="61"/>
      <x:c r="O138" s="61"/>
      <x:c r="P138" s="61"/>
      <x:c r="Q138" s="61"/>
    </x:row>
    <x:row r="139">
      <x:c r="A139" s="61"/>
      <x:c r="B139" s="61"/>
      <x:c r="C139" s="61"/>
      <x:c r="D139" s="61"/>
      <x:c r="E139" s="61"/>
      <x:c r="F139" s="61"/>
      <x:c r="G139" s="61"/>
      <x:c r="H139" s="61"/>
      <x:c r="I139" s="61"/>
      <x:c r="J139" s="61"/>
      <x:c r="K139" s="61"/>
      <x:c r="L139" s="61"/>
      <x:c r="M139" s="61"/>
      <x:c r="N139" s="61"/>
      <x:c r="O139" s="61"/>
      <x:c r="P139" s="61"/>
      <x:c r="Q139" s="61"/>
    </x:row>
    <x:row r="140">
      <x:c r="A140" s="61"/>
      <x:c r="B140" s="61"/>
      <x:c r="C140" s="61"/>
      <x:c r="D140" s="61"/>
      <x:c r="E140" s="61"/>
      <x:c r="F140" s="61"/>
      <x:c r="G140" s="61"/>
      <x:c r="H140" s="61"/>
      <x:c r="I140" s="61"/>
      <x:c r="J140" s="61"/>
      <x:c r="K140" s="61"/>
      <x:c r="L140" s="61"/>
      <x:c r="M140" s="61"/>
      <x:c r="N140" s="61"/>
      <x:c r="O140" s="61"/>
      <x:c r="P140" s="61"/>
      <x:c r="Q140" s="61"/>
    </x:row>
    <x:row r="141">
      <x:c r="A141" s="61"/>
      <x:c r="B141" s="61"/>
      <x:c r="C141" s="61"/>
      <x:c r="D141" s="61"/>
      <x:c r="E141" s="61"/>
      <x:c r="F141" s="61"/>
      <x:c r="G141" s="61"/>
      <x:c r="H141" s="61"/>
      <x:c r="I141" s="61"/>
      <x:c r="J141" s="61"/>
      <x:c r="K141" s="61"/>
      <x:c r="L141" s="61"/>
      <x:c r="M141" s="61"/>
      <x:c r="N141" s="61"/>
      <x:c r="O141" s="61"/>
      <x:c r="P141" s="61"/>
      <x:c r="Q141" s="61"/>
    </x:row>
    <x:row r="142">
      <x:c r="A142" s="61"/>
      <x:c r="B142" s="61"/>
      <x:c r="C142" s="61"/>
      <x:c r="D142" s="61"/>
      <x:c r="E142" s="61"/>
      <x:c r="F142" s="61"/>
      <x:c r="G142" s="61"/>
      <x:c r="H142" s="61"/>
      <x:c r="I142" s="61"/>
      <x:c r="J142" s="61"/>
      <x:c r="K142" s="61"/>
      <x:c r="L142" s="61"/>
      <x:c r="M142" s="61"/>
      <x:c r="N142" s="61"/>
      <x:c r="O142" s="61"/>
      <x:c r="P142" s="61"/>
      <x:c r="Q142" s="61"/>
    </x:row>
    <x:row r="143">
      <x:c r="A143" s="61"/>
      <x:c r="B143" s="61"/>
      <x:c r="C143" s="61"/>
      <x:c r="D143" s="61"/>
      <x:c r="E143" s="61"/>
      <x:c r="F143" s="61"/>
      <x:c r="G143" s="61"/>
      <x:c r="H143" s="61"/>
      <x:c r="I143" s="61"/>
      <x:c r="J143" s="61"/>
      <x:c r="K143" s="61"/>
      <x:c r="L143" s="61"/>
      <x:c r="M143" s="61"/>
      <x:c r="N143" s="61"/>
      <x:c r="O143" s="61"/>
      <x:c r="P143" s="61"/>
      <x:c r="Q143" s="61"/>
    </x:row>
    <x:row r="144">
      <x:c r="A144" s="61"/>
      <x:c r="B144" s="61"/>
      <x:c r="C144" s="61"/>
      <x:c r="D144" s="61"/>
      <x:c r="E144" s="61"/>
      <x:c r="F144" s="61"/>
      <x:c r="G144" s="61"/>
      <x:c r="H144" s="61"/>
      <x:c r="I144" s="61"/>
      <x:c r="J144" s="61"/>
      <x:c r="K144" s="61"/>
      <x:c r="L144" s="61"/>
      <x:c r="M144" s="61"/>
      <x:c r="N144" s="61"/>
      <x:c r="O144" s="61"/>
      <x:c r="P144" s="61"/>
      <x:c r="Q144" s="61"/>
    </x:row>
    <x:row r="145">
      <x:c r="A145" s="61"/>
      <x:c r="B145" s="61"/>
      <x:c r="C145" s="61"/>
      <x:c r="D145" s="61"/>
      <x:c r="E145" s="61"/>
      <x:c r="F145" s="61"/>
      <x:c r="G145" s="61"/>
      <x:c r="H145" s="61"/>
      <x:c r="I145" s="61"/>
      <x:c r="J145" s="61"/>
      <x:c r="K145" s="61"/>
      <x:c r="L145" s="61"/>
      <x:c r="M145" s="61"/>
      <x:c r="N145" s="61"/>
      <x:c r="O145" s="61"/>
      <x:c r="P145" s="61"/>
      <x:c r="Q145" s="61"/>
    </x:row>
    <x:row r="146">
      <x:c r="A146" s="61"/>
      <x:c r="B146" s="61"/>
      <x:c r="C146" s="61"/>
      <x:c r="D146" s="61"/>
      <x:c r="E146" s="61"/>
      <x:c r="F146" s="61"/>
      <x:c r="G146" s="61"/>
      <x:c r="H146" s="61"/>
      <x:c r="I146" s="61"/>
      <x:c r="J146" s="61"/>
      <x:c r="K146" s="61"/>
      <x:c r="L146" s="61"/>
      <x:c r="M146" s="61"/>
      <x:c r="N146" s="61"/>
      <x:c r="O146" s="61"/>
      <x:c r="P146" s="61"/>
      <x:c r="Q146" s="61"/>
    </x:row>
    <x:row r="147">
      <x:c r="A147" s="61"/>
      <x:c r="B147" s="61"/>
      <x:c r="C147" s="61"/>
      <x:c r="D147" s="61"/>
      <x:c r="E147" s="61"/>
      <x:c r="F147" s="61"/>
      <x:c r="G147" s="61"/>
      <x:c r="H147" s="61"/>
      <x:c r="I147" s="61"/>
      <x:c r="J147" s="61"/>
      <x:c r="K147" s="61"/>
      <x:c r="L147" s="61"/>
      <x:c r="M147" s="61"/>
      <x:c r="N147" s="61"/>
      <x:c r="O147" s="61"/>
      <x:c r="P147" s="61"/>
      <x:c r="Q147" s="61"/>
    </x:row>
    <x:row r="148">
      <x:c r="A148" s="61"/>
      <x:c r="B148" s="61"/>
      <x:c r="C148" s="61"/>
      <x:c r="D148" s="61"/>
      <x:c r="E148" s="61"/>
      <x:c r="F148" s="61"/>
      <x:c r="G148" s="61"/>
      <x:c r="H148" s="61"/>
      <x:c r="I148" s="61"/>
      <x:c r="J148" s="61"/>
      <x:c r="K148" s="61"/>
      <x:c r="L148" s="61"/>
      <x:c r="M148" s="61"/>
      <x:c r="N148" s="61"/>
      <x:c r="O148" s="61"/>
      <x:c r="P148" s="61"/>
      <x:c r="Q148" s="61"/>
    </x:row>
    <x:row r="149">
      <x:c r="A149" s="61"/>
      <x:c r="B149" s="61"/>
      <x:c r="C149" s="61"/>
      <x:c r="D149" s="61"/>
      <x:c r="E149" s="61"/>
      <x:c r="F149" s="61"/>
      <x:c r="G149" s="61"/>
      <x:c r="H149" s="61"/>
      <x:c r="I149" s="61"/>
      <x:c r="J149" s="61"/>
      <x:c r="K149" s="61"/>
      <x:c r="L149" s="61"/>
      <x:c r="M149" s="61"/>
      <x:c r="N149" s="61"/>
      <x:c r="O149" s="61"/>
      <x:c r="P149" s="61"/>
      <x:c r="Q149" s="61"/>
    </x:row>
    <x:row r="150">
      <x:c r="A150" s="61"/>
      <x:c r="B150" s="61"/>
      <x:c r="C150" s="61"/>
      <x:c r="D150" s="61"/>
      <x:c r="E150" s="61"/>
      <x:c r="F150" s="61"/>
      <x:c r="G150" s="61"/>
      <x:c r="H150" s="61"/>
      <x:c r="I150" s="61"/>
      <x:c r="J150" s="61"/>
      <x:c r="K150" s="61"/>
      <x:c r="L150" s="61"/>
      <x:c r="M150" s="61"/>
      <x:c r="N150" s="61"/>
      <x:c r="O150" s="61"/>
      <x:c r="P150" s="61"/>
      <x:c r="Q150" s="61"/>
    </x:row>
    <x:row r="151">
      <x:c r="A151" s="61"/>
      <x:c r="B151" s="61"/>
      <x:c r="C151" s="61"/>
      <x:c r="D151" s="61"/>
      <x:c r="E151" s="61"/>
      <x:c r="F151" s="61"/>
      <x:c r="G151" s="61"/>
      <x:c r="H151" s="61"/>
      <x:c r="I151" s="61"/>
      <x:c r="J151" s="61"/>
      <x:c r="K151" s="61"/>
      <x:c r="L151" s="61"/>
      <x:c r="M151" s="61"/>
      <x:c r="N151" s="61"/>
      <x:c r="O151" s="61"/>
      <x:c r="P151" s="61"/>
      <x:c r="Q151" s="61"/>
    </x:row>
    <x:row r="152">
      <x:c r="A152" s="61"/>
      <x:c r="B152" s="61"/>
      <x:c r="C152" s="61"/>
      <x:c r="D152" s="61"/>
      <x:c r="E152" s="61"/>
      <x:c r="F152" s="61"/>
      <x:c r="G152" s="61"/>
      <x:c r="H152" s="61"/>
      <x:c r="I152" s="61"/>
      <x:c r="J152" s="61"/>
      <x:c r="K152" s="61"/>
      <x:c r="L152" s="61"/>
      <x:c r="M152" s="61"/>
      <x:c r="N152" s="61"/>
      <x:c r="O152" s="61"/>
      <x:c r="P152" s="61"/>
      <x:c r="Q152" s="61"/>
    </x:row>
    <x:row r="153">
      <x:c r="A153" s="61"/>
      <x:c r="B153" s="61"/>
      <x:c r="C153" s="61"/>
      <x:c r="D153" s="61"/>
      <x:c r="E153" s="61"/>
      <x:c r="F153" s="61"/>
      <x:c r="G153" s="61"/>
      <x:c r="H153" s="61"/>
      <x:c r="I153" s="61"/>
      <x:c r="J153" s="61"/>
      <x:c r="K153" s="61"/>
      <x:c r="L153" s="61"/>
      <x:c r="M153" s="61"/>
      <x:c r="N153" s="61"/>
      <x:c r="O153" s="61"/>
      <x:c r="P153" s="61"/>
      <x:c r="Q153" s="61"/>
    </x:row>
    <x:row r="154">
      <x:c r="A154" s="61"/>
      <x:c r="B154" s="61"/>
      <x:c r="C154" s="61"/>
      <x:c r="D154" s="61"/>
      <x:c r="E154" s="61"/>
      <x:c r="F154" s="61"/>
      <x:c r="G154" s="61"/>
      <x:c r="H154" s="61"/>
      <x:c r="I154" s="61"/>
      <x:c r="J154" s="61"/>
      <x:c r="K154" s="61"/>
      <x:c r="L154" s="61"/>
      <x:c r="M154" s="61"/>
      <x:c r="N154" s="61"/>
      <x:c r="O154" s="61"/>
      <x:c r="P154" s="61"/>
      <x:c r="Q154" s="61"/>
    </x:row>
    <x:row r="155">
      <x:c r="A155" s="61"/>
      <x:c r="B155" s="61"/>
      <x:c r="C155" s="61"/>
      <x:c r="D155" s="61"/>
      <x:c r="E155" s="61"/>
      <x:c r="F155" s="61"/>
      <x:c r="G155" s="61"/>
      <x:c r="H155" s="61"/>
      <x:c r="I155" s="61"/>
      <x:c r="J155" s="61"/>
      <x:c r="K155" s="61"/>
      <x:c r="L155" s="61"/>
      <x:c r="M155" s="61"/>
      <x:c r="N155" s="61"/>
      <x:c r="O155" s="61"/>
      <x:c r="P155" s="61"/>
      <x:c r="Q155" s="61"/>
    </x:row>
    <x:row r="156">
      <x:c r="A156" s="61"/>
      <x:c r="B156" s="61"/>
      <x:c r="C156" s="61"/>
      <x:c r="D156" s="61"/>
      <x:c r="E156" s="61"/>
      <x:c r="F156" s="61"/>
      <x:c r="G156" s="61"/>
      <x:c r="H156" s="61"/>
      <x:c r="I156" s="61"/>
      <x:c r="J156" s="61"/>
      <x:c r="K156" s="61"/>
      <x:c r="L156" s="61"/>
      <x:c r="M156" s="61"/>
      <x:c r="N156" s="61"/>
      <x:c r="O156" s="61"/>
      <x:c r="P156" s="61"/>
      <x:c r="Q156" s="61"/>
    </x:row>
    <x:row r="157">
      <x:c r="A157" s="61"/>
      <x:c r="B157" s="61"/>
      <x:c r="C157" s="61"/>
      <x:c r="D157" s="61"/>
      <x:c r="E157" s="61"/>
      <x:c r="F157" s="61"/>
      <x:c r="G157" s="61"/>
      <x:c r="H157" s="61"/>
      <x:c r="I157" s="61"/>
      <x:c r="J157" s="61"/>
      <x:c r="K157" s="61"/>
      <x:c r="L157" s="61"/>
      <x:c r="M157" s="61"/>
      <x:c r="N157" s="61"/>
      <x:c r="O157" s="61"/>
      <x:c r="P157" s="61"/>
      <x:c r="Q157" s="61"/>
    </x:row>
    <x:row r="158">
      <x:c r="A158" s="61"/>
      <x:c r="B158" s="61"/>
      <x:c r="C158" s="61"/>
      <x:c r="D158" s="61"/>
      <x:c r="E158" s="61"/>
      <x:c r="F158" s="61"/>
      <x:c r="G158" s="61"/>
      <x:c r="H158" s="61"/>
      <x:c r="I158" s="61"/>
      <x:c r="J158" s="61"/>
      <x:c r="K158" s="61"/>
      <x:c r="L158" s="61"/>
      <x:c r="M158" s="61"/>
      <x:c r="N158" s="61"/>
      <x:c r="O158" s="61"/>
      <x:c r="P158" s="61"/>
      <x:c r="Q158" s="61"/>
    </x:row>
    <x:row r="159">
      <x:c r="A159" s="61"/>
      <x:c r="B159" s="61"/>
      <x:c r="C159" s="61"/>
      <x:c r="D159" s="61"/>
      <x:c r="E159" s="61"/>
      <x:c r="F159" s="61"/>
      <x:c r="G159" s="61"/>
      <x:c r="H159" s="61"/>
      <x:c r="I159" s="61"/>
      <x:c r="J159" s="61"/>
      <x:c r="K159" s="61"/>
      <x:c r="L159" s="61"/>
      <x:c r="M159" s="61"/>
      <x:c r="N159" s="61"/>
      <x:c r="O159" s="61"/>
      <x:c r="P159" s="61"/>
      <x:c r="Q159" s="61"/>
    </x:row>
    <x:row r="160">
      <x:c r="A160" s="61"/>
      <x:c r="B160" s="61"/>
      <x:c r="C160" s="61"/>
      <x:c r="D160" s="61"/>
      <x:c r="E160" s="61"/>
      <x:c r="F160" s="61"/>
      <x:c r="G160" s="61"/>
      <x:c r="H160" s="61"/>
      <x:c r="I160" s="61"/>
      <x:c r="J160" s="61"/>
      <x:c r="K160" s="61"/>
      <x:c r="L160" s="61"/>
      <x:c r="M160" s="61"/>
      <x:c r="N160" s="61"/>
      <x:c r="O160" s="61"/>
      <x:c r="P160" s="61"/>
      <x:c r="Q160" s="61"/>
    </x:row>
    <x:row r="161">
      <x:c r="A161" s="61"/>
      <x:c r="B161" s="61"/>
      <x:c r="C161" s="61"/>
      <x:c r="D161" s="61"/>
      <x:c r="E161" s="61"/>
      <x:c r="F161" s="61"/>
      <x:c r="G161" s="61"/>
      <x:c r="H161" s="61"/>
      <x:c r="I161" s="61"/>
      <x:c r="J161" s="61"/>
      <x:c r="K161" s="61"/>
      <x:c r="L161" s="61"/>
      <x:c r="M161" s="61"/>
      <x:c r="N161" s="61"/>
      <x:c r="O161" s="61"/>
      <x:c r="P161" s="61"/>
      <x:c r="Q161" s="61"/>
    </x:row>
    <x:row r="162">
      <x:c r="A162" s="61"/>
      <x:c r="B162" s="61"/>
      <x:c r="C162" s="61"/>
      <x:c r="D162" s="61"/>
      <x:c r="E162" s="61"/>
      <x:c r="F162" s="61"/>
      <x:c r="G162" s="61"/>
      <x:c r="H162" s="61"/>
      <x:c r="I162" s="61"/>
      <x:c r="J162" s="61"/>
      <x:c r="K162" s="61"/>
      <x:c r="L162" s="61"/>
      <x:c r="M162" s="61"/>
      <x:c r="N162" s="61"/>
      <x:c r="O162" s="61"/>
      <x:c r="P162" s="61"/>
      <x:c r="Q162" s="61"/>
    </x:row>
    <x:row r="163">
      <x:c r="A163" s="61"/>
      <x:c r="B163" s="61"/>
      <x:c r="C163" s="61"/>
      <x:c r="D163" s="61"/>
      <x:c r="E163" s="61"/>
      <x:c r="F163" s="61"/>
      <x:c r="G163" s="61"/>
      <x:c r="H163" s="61"/>
      <x:c r="I163" s="61"/>
      <x:c r="J163" s="61"/>
      <x:c r="K163" s="61"/>
      <x:c r="L163" s="61"/>
      <x:c r="M163" s="61"/>
      <x:c r="N163" s="61"/>
      <x:c r="O163" s="61"/>
      <x:c r="P163" s="61"/>
      <x:c r="Q163" s="61"/>
    </x:row>
    <x:row r="164">
      <x:c r="A164" s="61"/>
      <x:c r="B164" s="61"/>
      <x:c r="C164" s="61"/>
      <x:c r="D164" s="61"/>
      <x:c r="E164" s="61"/>
      <x:c r="F164" s="61"/>
      <x:c r="G164" s="61"/>
      <x:c r="H164" s="61"/>
      <x:c r="I164" s="61"/>
      <x:c r="J164" s="61"/>
      <x:c r="K164" s="61"/>
      <x:c r="L164" s="61"/>
      <x:c r="M164" s="61"/>
      <x:c r="N164" s="61"/>
      <x:c r="O164" s="61"/>
      <x:c r="P164" s="61"/>
      <x:c r="Q164" s="61"/>
    </x:row>
    <x:row r="165">
      <x:c r="A165" s="61"/>
      <x:c r="B165" s="61"/>
      <x:c r="C165" s="61"/>
      <x:c r="D165" s="61"/>
      <x:c r="E165" s="61"/>
      <x:c r="F165" s="61"/>
      <x:c r="G165" s="61"/>
      <x:c r="H165" s="61"/>
      <x:c r="I165" s="61"/>
      <x:c r="J165" s="61"/>
      <x:c r="K165" s="61"/>
      <x:c r="L165" s="61"/>
      <x:c r="M165" s="61"/>
      <x:c r="N165" s="61"/>
      <x:c r="O165" s="61"/>
      <x:c r="P165" s="61"/>
      <x:c r="Q165" s="61"/>
    </x:row>
    <x:row r="166">
      <x:c r="A166" s="61"/>
      <x:c r="B166" s="61"/>
      <x:c r="C166" s="61"/>
      <x:c r="D166" s="61"/>
      <x:c r="E166" s="61"/>
      <x:c r="F166" s="61"/>
      <x:c r="G166" s="61"/>
      <x:c r="H166" s="61"/>
      <x:c r="I166" s="61"/>
      <x:c r="J166" s="61"/>
      <x:c r="K166" s="61"/>
      <x:c r="L166" s="61"/>
      <x:c r="M166" s="61"/>
      <x:c r="N166" s="61"/>
      <x:c r="O166" s="61"/>
      <x:c r="P166" s="61"/>
      <x:c r="Q166" s="61"/>
    </x:row>
    <x:row r="167">
      <x:c r="A167" s="61"/>
      <x:c r="B167" s="61"/>
      <x:c r="C167" s="61"/>
      <x:c r="D167" s="61"/>
      <x:c r="E167" s="61"/>
      <x:c r="F167" s="61"/>
      <x:c r="G167" s="61"/>
      <x:c r="H167" s="61"/>
      <x:c r="I167" s="61"/>
      <x:c r="J167" s="61"/>
      <x:c r="K167" s="61"/>
      <x:c r="L167" s="61"/>
      <x:c r="M167" s="61"/>
      <x:c r="N167" s="61"/>
      <x:c r="O167" s="61"/>
      <x:c r="P167" s="61"/>
      <x:c r="Q167" s="61"/>
    </x:row>
    <x:row r="168">
      <x:c r="A168" s="61"/>
      <x:c r="B168" s="61"/>
      <x:c r="C168" s="61"/>
      <x:c r="D168" s="61"/>
      <x:c r="E168" s="61"/>
      <x:c r="F168" s="61"/>
      <x:c r="G168" s="61"/>
      <x:c r="H168" s="61"/>
      <x:c r="I168" s="61"/>
      <x:c r="J168" s="61"/>
      <x:c r="K168" s="61"/>
      <x:c r="L168" s="61"/>
      <x:c r="M168" s="61"/>
      <x:c r="N168" s="61"/>
      <x:c r="O168" s="61"/>
      <x:c r="P168" s="61"/>
      <x:c r="Q168" s="61"/>
    </x:row>
    <x:row r="169">
      <x:c r="A169" s="61"/>
      <x:c r="B169" s="61"/>
      <x:c r="C169" s="61"/>
      <x:c r="D169" s="61"/>
      <x:c r="E169" s="61"/>
      <x:c r="F169" s="61"/>
      <x:c r="G169" s="61"/>
      <x:c r="H169" s="61"/>
      <x:c r="I169" s="61"/>
      <x:c r="J169" s="61"/>
      <x:c r="K169" s="61"/>
      <x:c r="L169" s="61"/>
      <x:c r="M169" s="61"/>
      <x:c r="N169" s="61"/>
      <x:c r="O169" s="61"/>
      <x:c r="P169" s="61"/>
      <x:c r="Q169" s="61"/>
    </x:row>
    <x:row r="170">
      <x:c r="A170" s="61"/>
      <x:c r="B170" s="61"/>
      <x:c r="C170" s="61"/>
      <x:c r="D170" s="61"/>
      <x:c r="E170" s="61"/>
      <x:c r="F170" s="61"/>
      <x:c r="G170" s="61"/>
      <x:c r="H170" s="61"/>
      <x:c r="I170" s="61"/>
      <x:c r="J170" s="61"/>
      <x:c r="K170" s="61"/>
      <x:c r="L170" s="61"/>
      <x:c r="M170" s="61"/>
      <x:c r="N170" s="61"/>
      <x:c r="O170" s="61"/>
      <x:c r="P170" s="61"/>
      <x:c r="Q170" s="61"/>
    </x:row>
    <x:row r="171">
      <x:c r="A171" s="61"/>
      <x:c r="B171" s="61"/>
      <x:c r="C171" s="61"/>
      <x:c r="D171" s="61"/>
      <x:c r="E171" s="61"/>
      <x:c r="F171" s="61"/>
      <x:c r="G171" s="61"/>
      <x:c r="H171" s="61"/>
      <x:c r="I171" s="61"/>
      <x:c r="J171" s="61"/>
      <x:c r="K171" s="61"/>
      <x:c r="L171" s="61"/>
      <x:c r="M171" s="61"/>
      <x:c r="N171" s="61"/>
      <x:c r="O171" s="61"/>
      <x:c r="P171" s="61"/>
      <x:c r="Q171" s="61"/>
    </x:row>
    <x:row r="172">
      <x:c r="A172" s="61"/>
      <x:c r="B172" s="61"/>
      <x:c r="C172" s="61"/>
      <x:c r="D172" s="61"/>
      <x:c r="E172" s="61"/>
      <x:c r="F172" s="61"/>
      <x:c r="G172" s="61"/>
      <x:c r="H172" s="61"/>
      <x:c r="I172" s="61"/>
      <x:c r="J172" s="61"/>
      <x:c r="K172" s="61"/>
      <x:c r="L172" s="61"/>
      <x:c r="M172" s="61"/>
      <x:c r="N172" s="61"/>
      <x:c r="O172" s="61"/>
      <x:c r="P172" s="61"/>
      <x:c r="Q172" s="61"/>
    </x:row>
    <x:row r="173">
      <x:c r="A173" s="61"/>
      <x:c r="B173" s="61"/>
      <x:c r="C173" s="61"/>
      <x:c r="D173" s="61"/>
      <x:c r="E173" s="61"/>
      <x:c r="F173" s="61"/>
      <x:c r="G173" s="61"/>
      <x:c r="H173" s="61"/>
      <x:c r="I173" s="61"/>
      <x:c r="J173" s="61"/>
      <x:c r="K173" s="61"/>
      <x:c r="L173" s="61"/>
      <x:c r="M173" s="61"/>
      <x:c r="N173" s="61"/>
      <x:c r="O173" s="61"/>
      <x:c r="P173" s="61"/>
      <x:c r="Q173" s="61"/>
    </x:row>
    <x:row r="174">
      <x:c r="A174" s="61"/>
      <x:c r="B174" s="61"/>
      <x:c r="C174" s="61"/>
      <x:c r="D174" s="61"/>
      <x:c r="E174" s="61"/>
      <x:c r="F174" s="61"/>
      <x:c r="G174" s="61"/>
      <x:c r="H174" s="61"/>
      <x:c r="I174" s="61"/>
      <x:c r="J174" s="61"/>
      <x:c r="K174" s="61"/>
      <x:c r="L174" s="61"/>
      <x:c r="M174" s="61"/>
      <x:c r="N174" s="61"/>
      <x:c r="O174" s="61"/>
      <x:c r="P174" s="61"/>
      <x:c r="Q174" s="61"/>
    </x:row>
    <x:row r="175">
      <x:c r="A175" s="61"/>
      <x:c r="B175" s="61"/>
      <x:c r="C175" s="61"/>
      <x:c r="D175" s="61"/>
      <x:c r="E175" s="61"/>
      <x:c r="F175" s="61"/>
      <x:c r="G175" s="61"/>
      <x:c r="H175" s="61"/>
      <x:c r="I175" s="61"/>
      <x:c r="J175" s="61"/>
      <x:c r="K175" s="61"/>
      <x:c r="L175" s="61"/>
      <x:c r="M175" s="61"/>
      <x:c r="N175" s="61"/>
      <x:c r="O175" s="61"/>
      <x:c r="P175" s="61"/>
      <x:c r="Q175" s="61"/>
    </x:row>
    <x:row r="176">
      <x:c r="A176" s="61"/>
      <x:c r="B176" s="61"/>
      <x:c r="C176" s="61"/>
      <x:c r="D176" s="61"/>
      <x:c r="E176" s="61"/>
      <x:c r="F176" s="61"/>
      <x:c r="G176" s="61"/>
      <x:c r="H176" s="61"/>
      <x:c r="I176" s="61"/>
      <x:c r="J176" s="61"/>
      <x:c r="K176" s="61"/>
      <x:c r="L176" s="61"/>
      <x:c r="M176" s="61"/>
      <x:c r="N176" s="61"/>
      <x:c r="O176" s="61"/>
      <x:c r="P176" s="61"/>
      <x:c r="Q176" s="61"/>
    </x:row>
    <x:row r="177">
      <x:c r="A177" s="61"/>
      <x:c r="B177" s="61"/>
      <x:c r="C177" s="61"/>
      <x:c r="D177" s="61"/>
      <x:c r="E177" s="61"/>
      <x:c r="F177" s="61"/>
      <x:c r="G177" s="61"/>
      <x:c r="H177" s="61"/>
      <x:c r="I177" s="61"/>
      <x:c r="J177" s="61"/>
      <x:c r="K177" s="61"/>
      <x:c r="L177" s="61"/>
      <x:c r="M177" s="61"/>
      <x:c r="N177" s="61"/>
      <x:c r="O177" s="61"/>
      <x:c r="P177" s="61"/>
      <x:c r="Q177" s="61"/>
    </x:row>
    <x:row r="178">
      <x:c r="A178" s="61"/>
      <x:c r="B178" s="61"/>
      <x:c r="C178" s="61"/>
      <x:c r="D178" s="61"/>
      <x:c r="E178" s="61"/>
      <x:c r="F178" s="61"/>
      <x:c r="G178" s="61"/>
      <x:c r="H178" s="61"/>
      <x:c r="I178" s="61"/>
      <x:c r="J178" s="61"/>
      <x:c r="K178" s="61"/>
      <x:c r="L178" s="61"/>
      <x:c r="M178" s="61"/>
      <x:c r="N178" s="61"/>
      <x:c r="O178" s="61"/>
      <x:c r="P178" s="61"/>
      <x:c r="Q178" s="61"/>
    </x:row>
    <x:row r="179">
      <x:c r="A179" s="61"/>
      <x:c r="B179" s="61"/>
      <x:c r="C179" s="61"/>
      <x:c r="D179" s="61"/>
      <x:c r="E179" s="61"/>
      <x:c r="F179" s="61"/>
      <x:c r="G179" s="61"/>
      <x:c r="H179" s="61"/>
      <x:c r="I179" s="61"/>
      <x:c r="J179" s="61"/>
      <x:c r="K179" s="61"/>
      <x:c r="L179" s="61"/>
      <x:c r="M179" s="61"/>
      <x:c r="N179" s="61"/>
      <x:c r="O179" s="61"/>
      <x:c r="P179" s="61"/>
      <x:c r="Q179" s="61"/>
    </x:row>
    <x:row r="180">
      <x:c r="A180" s="61"/>
      <x:c r="B180" s="61"/>
      <x:c r="C180" s="61"/>
      <x:c r="D180" s="61"/>
      <x:c r="E180" s="61"/>
      <x:c r="F180" s="61"/>
      <x:c r="G180" s="61"/>
      <x:c r="H180" s="61"/>
      <x:c r="I180" s="61"/>
      <x:c r="J180" s="61"/>
      <x:c r="K180" s="61"/>
      <x:c r="L180" s="61"/>
      <x:c r="M180" s="61"/>
      <x:c r="N180" s="61"/>
      <x:c r="O180" s="61"/>
      <x:c r="P180" s="61"/>
      <x:c r="Q180" s="61"/>
    </x:row>
    <x:row r="181">
      <x:c r="A181" s="61"/>
      <x:c r="B181" s="61"/>
      <x:c r="C181" s="61"/>
      <x:c r="D181" s="61"/>
      <x:c r="E181" s="61"/>
      <x:c r="F181" s="61"/>
      <x:c r="G181" s="61"/>
      <x:c r="H181" s="61"/>
      <x:c r="I181" s="61"/>
      <x:c r="J181" s="61"/>
      <x:c r="K181" s="61"/>
      <x:c r="L181" s="61"/>
      <x:c r="M181" s="61"/>
      <x:c r="N181" s="61"/>
      <x:c r="O181" s="61"/>
      <x:c r="P181" s="61"/>
      <x:c r="Q181" s="61"/>
    </x:row>
    <x:row r="182">
      <x:c r="A182" s="61"/>
      <x:c r="B182" s="61"/>
      <x:c r="C182" s="61"/>
      <x:c r="D182" s="61"/>
      <x:c r="E182" s="61"/>
      <x:c r="F182" s="61"/>
      <x:c r="G182" s="61"/>
      <x:c r="H182" s="61"/>
      <x:c r="I182" s="61"/>
      <x:c r="J182" s="61"/>
      <x:c r="K182" s="61"/>
      <x:c r="L182" s="61"/>
      <x:c r="M182" s="61"/>
      <x:c r="N182" s="61"/>
      <x:c r="O182" s="61"/>
      <x:c r="P182" s="61"/>
      <x:c r="Q182" s="61"/>
    </x:row>
    <x:row r="183">
      <x:c r="A183" s="61"/>
      <x:c r="B183" s="61"/>
      <x:c r="C183" s="61"/>
      <x:c r="D183" s="61"/>
      <x:c r="E183" s="61"/>
      <x:c r="F183" s="61"/>
      <x:c r="G183" s="61"/>
      <x:c r="H183" s="61"/>
      <x:c r="I183" s="61"/>
      <x:c r="J183" s="61"/>
      <x:c r="K183" s="61"/>
      <x:c r="L183" s="61"/>
      <x:c r="M183" s="61"/>
      <x:c r="N183" s="61"/>
      <x:c r="O183" s="61"/>
      <x:c r="P183" s="61"/>
      <x:c r="Q183" s="61"/>
    </x:row>
    <x:row r="184">
      <x:c r="A184" s="61"/>
      <x:c r="B184" s="61"/>
      <x:c r="C184" s="61"/>
      <x:c r="D184" s="61"/>
      <x:c r="E184" s="61"/>
      <x:c r="F184" s="61"/>
      <x:c r="G184" s="61"/>
      <x:c r="H184" s="61"/>
      <x:c r="I184" s="61"/>
      <x:c r="J184" s="61"/>
      <x:c r="K184" s="61"/>
      <x:c r="L184" s="61"/>
      <x:c r="M184" s="61"/>
      <x:c r="N184" s="61"/>
      <x:c r="O184" s="61"/>
      <x:c r="P184" s="61"/>
      <x:c r="Q184" s="61"/>
    </x:row>
    <x:row r="185">
      <x:c r="A185" s="61"/>
      <x:c r="B185" s="61"/>
      <x:c r="C185" s="61"/>
      <x:c r="D185" s="61"/>
      <x:c r="E185" s="61"/>
      <x:c r="F185" s="61"/>
      <x:c r="G185" s="61"/>
      <x:c r="H185" s="61"/>
      <x:c r="I185" s="61"/>
      <x:c r="J185" s="61"/>
      <x:c r="K185" s="61"/>
      <x:c r="L185" s="61"/>
      <x:c r="M185" s="61"/>
      <x:c r="N185" s="61"/>
      <x:c r="O185" s="61"/>
      <x:c r="P185" s="61"/>
      <x:c r="Q185" s="61"/>
    </x:row>
    <x:row r="186">
      <x:c r="A186" s="61"/>
      <x:c r="B186" s="61"/>
      <x:c r="C186" s="61"/>
      <x:c r="D186" s="61"/>
      <x:c r="E186" s="61"/>
      <x:c r="F186" s="61"/>
      <x:c r="G186" s="61"/>
      <x:c r="H186" s="61"/>
      <x:c r="I186" s="61"/>
      <x:c r="J186" s="61"/>
      <x:c r="K186" s="61"/>
      <x:c r="L186" s="61"/>
      <x:c r="M186" s="61"/>
      <x:c r="N186" s="61"/>
      <x:c r="O186" s="61"/>
      <x:c r="P186" s="61"/>
      <x:c r="Q186" s="61"/>
    </x:row>
    <x:row r="187">
      <x:c r="A187" s="61"/>
      <x:c r="B187" s="61"/>
      <x:c r="C187" s="61"/>
      <x:c r="D187" s="61"/>
      <x:c r="E187" s="61"/>
      <x:c r="F187" s="61"/>
      <x:c r="G187" s="61"/>
      <x:c r="H187" s="61"/>
      <x:c r="I187" s="61"/>
      <x:c r="J187" s="61"/>
      <x:c r="K187" s="61"/>
      <x:c r="L187" s="61"/>
      <x:c r="M187" s="61"/>
      <x:c r="N187" s="61"/>
      <x:c r="O187" s="61"/>
      <x:c r="P187" s="61"/>
      <x:c r="Q187" s="61"/>
    </x:row>
    <x:row r="188">
      <x:c r="A188" s="61"/>
      <x:c r="B188" s="61"/>
      <x:c r="C188" s="61"/>
      <x:c r="D188" s="61"/>
      <x:c r="E188" s="61"/>
      <x:c r="F188" s="61"/>
      <x:c r="G188" s="61"/>
      <x:c r="H188" s="61"/>
      <x:c r="I188" s="61"/>
      <x:c r="J188" s="61"/>
      <x:c r="K188" s="61"/>
      <x:c r="L188" s="61"/>
      <x:c r="M188" s="61"/>
      <x:c r="N188" s="61"/>
      <x:c r="O188" s="61"/>
      <x:c r="P188" s="61"/>
      <x:c r="Q188" s="61"/>
    </x:row>
    <x:row r="189">
      <x:c r="A189" s="61"/>
      <x:c r="B189" s="61"/>
      <x:c r="C189" s="61"/>
      <x:c r="D189" s="61"/>
      <x:c r="E189" s="61"/>
      <x:c r="F189" s="61"/>
      <x:c r="G189" s="61"/>
      <x:c r="H189" s="61"/>
      <x:c r="I189" s="61"/>
      <x:c r="J189" s="61"/>
      <x:c r="K189" s="61"/>
      <x:c r="L189" s="61"/>
      <x:c r="M189" s="61"/>
      <x:c r="N189" s="61"/>
      <x:c r="O189" s="61"/>
      <x:c r="P189" s="61"/>
      <x:c r="Q189" s="61"/>
    </x:row>
    <x:row r="190">
      <x:c r="A190" s="61"/>
      <x:c r="B190" s="61"/>
      <x:c r="C190" s="61"/>
      <x:c r="D190" s="61"/>
      <x:c r="E190" s="61"/>
      <x:c r="F190" s="61"/>
      <x:c r="G190" s="61"/>
      <x:c r="H190" s="61"/>
      <x:c r="I190" s="61"/>
      <x:c r="J190" s="61"/>
      <x:c r="K190" s="61"/>
      <x:c r="L190" s="61"/>
      <x:c r="M190" s="61"/>
      <x:c r="N190" s="61"/>
      <x:c r="O190" s="61"/>
      <x:c r="P190" s="61"/>
      <x:c r="Q190" s="61"/>
    </x:row>
    <x:row r="191">
      <x:c r="A191" s="61"/>
      <x:c r="B191" s="61"/>
      <x:c r="C191" s="61"/>
      <x:c r="D191" s="61"/>
      <x:c r="E191" s="61"/>
      <x:c r="F191" s="61"/>
      <x:c r="G191" s="61"/>
      <x:c r="H191" s="61"/>
      <x:c r="I191" s="61"/>
      <x:c r="J191" s="61"/>
      <x:c r="K191" s="61"/>
      <x:c r="L191" s="61"/>
      <x:c r="M191" s="61"/>
      <x:c r="N191" s="61"/>
      <x:c r="O191" s="61"/>
      <x:c r="P191" s="61"/>
      <x:c r="Q191" s="61"/>
    </x:row>
    <x:row r="192">
      <x:c r="A192" s="61"/>
      <x:c r="B192" s="61"/>
      <x:c r="C192" s="61"/>
      <x:c r="D192" s="61"/>
      <x:c r="E192" s="61"/>
      <x:c r="F192" s="61"/>
      <x:c r="G192" s="61"/>
      <x:c r="H192" s="61"/>
      <x:c r="I192" s="61"/>
      <x:c r="J192" s="61"/>
      <x:c r="K192" s="61"/>
      <x:c r="L192" s="61"/>
      <x:c r="M192" s="61"/>
      <x:c r="N192" s="61"/>
      <x:c r="O192" s="61"/>
      <x:c r="P192" s="61"/>
      <x:c r="Q192" s="61"/>
    </x:row>
    <x:row r="193">
      <x:c r="A193" s="61"/>
      <x:c r="B193" s="61"/>
      <x:c r="C193" s="61"/>
      <x:c r="D193" s="61"/>
      <x:c r="E193" s="61"/>
      <x:c r="F193" s="61"/>
      <x:c r="G193" s="61"/>
      <x:c r="H193" s="61"/>
      <x:c r="I193" s="61"/>
      <x:c r="J193" s="61"/>
      <x:c r="K193" s="61"/>
      <x:c r="L193" s="61"/>
      <x:c r="M193" s="61"/>
      <x:c r="N193" s="61"/>
      <x:c r="O193" s="61"/>
      <x:c r="P193" s="61"/>
      <x:c r="Q193" s="61"/>
    </x:row>
    <x:row r="194">
      <x:c r="A194" s="61"/>
      <x:c r="B194" s="61"/>
      <x:c r="C194" s="61"/>
      <x:c r="D194" s="61"/>
      <x:c r="E194" s="61"/>
      <x:c r="F194" s="61"/>
      <x:c r="G194" s="61"/>
      <x:c r="H194" s="61"/>
      <x:c r="I194" s="61"/>
      <x:c r="J194" s="61"/>
      <x:c r="K194" s="61"/>
      <x:c r="L194" s="61"/>
      <x:c r="M194" s="61"/>
      <x:c r="N194" s="61"/>
      <x:c r="O194" s="61"/>
      <x:c r="P194" s="61"/>
      <x:c r="Q194" s="61"/>
    </x:row>
    <x:row r="195">
      <x:c r="A195" s="61"/>
      <x:c r="B195" s="61"/>
      <x:c r="C195" s="61"/>
      <x:c r="D195" s="61"/>
      <x:c r="E195" s="61"/>
      <x:c r="F195" s="61"/>
      <x:c r="G195" s="61"/>
      <x:c r="H195" s="61"/>
      <x:c r="I195" s="61"/>
      <x:c r="J195" s="61"/>
      <x:c r="K195" s="61"/>
      <x:c r="L195" s="61"/>
      <x:c r="M195" s="61"/>
      <x:c r="N195" s="61"/>
      <x:c r="O195" s="61"/>
      <x:c r="P195" s="61"/>
      <x:c r="Q195" s="61"/>
    </x:row>
    <x:row r="196">
      <x:c r="A196" s="61"/>
      <x:c r="B196" s="61"/>
      <x:c r="C196" s="61"/>
      <x:c r="D196" s="61"/>
      <x:c r="E196" s="61"/>
      <x:c r="F196" s="61"/>
      <x:c r="G196" s="61"/>
      <x:c r="H196" s="61"/>
      <x:c r="I196" s="61"/>
      <x:c r="J196" s="61"/>
      <x:c r="K196" s="61"/>
      <x:c r="L196" s="61"/>
      <x:c r="M196" s="61"/>
      <x:c r="N196" s="61"/>
      <x:c r="O196" s="61"/>
      <x:c r="P196" s="61"/>
      <x:c r="Q196" s="61"/>
    </x:row>
    <x:row r="197">
      <x:c r="A197" s="61"/>
      <x:c r="B197" s="61"/>
      <x:c r="C197" s="61"/>
      <x:c r="D197" s="61"/>
      <x:c r="E197" s="61"/>
      <x:c r="F197" s="61"/>
      <x:c r="G197" s="61"/>
      <x:c r="H197" s="61"/>
      <x:c r="I197" s="61"/>
      <x:c r="J197" s="61"/>
      <x:c r="K197" s="61"/>
      <x:c r="L197" s="61"/>
      <x:c r="M197" s="61"/>
      <x:c r="N197" s="61"/>
      <x:c r="O197" s="61"/>
      <x:c r="P197" s="61"/>
      <x:c r="Q197" s="61"/>
    </x:row>
    <x:row r="198">
      <x:c r="A198" s="61"/>
      <x:c r="B198" s="61"/>
      <x:c r="C198" s="61"/>
      <x:c r="D198" s="61"/>
      <x:c r="E198" s="61"/>
      <x:c r="F198" s="61"/>
      <x:c r="G198" s="61"/>
      <x:c r="H198" s="61"/>
      <x:c r="I198" s="61"/>
      <x:c r="J198" s="61"/>
      <x:c r="K198" s="61"/>
      <x:c r="L198" s="61"/>
      <x:c r="M198" s="61"/>
      <x:c r="N198" s="61"/>
      <x:c r="O198" s="61"/>
      <x:c r="P198" s="61"/>
      <x:c r="Q198" s="61"/>
    </x:row>
    <x:row r="199">
      <x:c r="A199" s="61"/>
      <x:c r="B199" s="61"/>
      <x:c r="C199" s="61"/>
      <x:c r="D199" s="61"/>
      <x:c r="E199" s="61"/>
      <x:c r="F199" s="61"/>
      <x:c r="G199" s="61"/>
      <x:c r="H199" s="61"/>
      <x:c r="I199" s="61"/>
      <x:c r="J199" s="61"/>
      <x:c r="K199" s="61"/>
      <x:c r="L199" s="61"/>
      <x:c r="M199" s="61"/>
      <x:c r="N199" s="61"/>
      <x:c r="O199" s="61"/>
      <x:c r="P199" s="61"/>
      <x:c r="Q199" s="61"/>
    </x:row>
    <x:row r="200">
      <x:c r="A200" s="61"/>
      <x:c r="B200" s="61"/>
      <x:c r="C200" s="61"/>
      <x:c r="D200" s="61"/>
      <x:c r="E200" s="61"/>
      <x:c r="F200" s="61"/>
      <x:c r="G200" s="61"/>
      <x:c r="H200" s="61"/>
      <x:c r="I200" s="61"/>
      <x:c r="J200" s="61"/>
      <x:c r="K200" s="61"/>
      <x:c r="L200" s="61"/>
      <x:c r="M200" s="61"/>
      <x:c r="N200" s="61"/>
      <x:c r="O200" s="61"/>
      <x:c r="P200" s="61"/>
      <x:c r="Q200" s="61"/>
    </x:row>
    <x:row r="201">
      <x:c r="A201" s="61"/>
      <x:c r="B201" s="61"/>
      <x:c r="C201" s="61"/>
      <x:c r="D201" s="61"/>
      <x:c r="E201" s="61"/>
      <x:c r="F201" s="61"/>
      <x:c r="G201" s="61"/>
      <x:c r="H201" s="61"/>
      <x:c r="I201" s="61"/>
      <x:c r="J201" s="61"/>
      <x:c r="K201" s="61"/>
      <x:c r="L201" s="61"/>
      <x:c r="M201" s="61"/>
      <x:c r="N201" s="61"/>
      <x:c r="O201" s="61"/>
      <x:c r="P201" s="61"/>
      <x:c r="Q201" s="61"/>
    </x:row>
    <x:row r="202">
      <x:c r="A202" s="61"/>
      <x:c r="B202" s="61"/>
      <x:c r="C202" s="61"/>
      <x:c r="D202" s="61"/>
      <x:c r="E202" s="61"/>
      <x:c r="F202" s="61"/>
      <x:c r="G202" s="61"/>
      <x:c r="H202" s="61"/>
      <x:c r="I202" s="61"/>
      <x:c r="J202" s="61"/>
      <x:c r="K202" s="61"/>
      <x:c r="L202" s="61"/>
      <x:c r="M202" s="61"/>
      <x:c r="N202" s="61"/>
      <x:c r="O202" s="61"/>
      <x:c r="P202" s="61"/>
      <x:c r="Q202" s="61"/>
    </x:row>
    <x:row r="203">
      <x:c r="A203" s="61"/>
      <x:c r="B203" s="61"/>
      <x:c r="C203" s="61"/>
      <x:c r="D203" s="61"/>
      <x:c r="E203" s="61"/>
      <x:c r="F203" s="61"/>
      <x:c r="G203" s="61"/>
      <x:c r="H203" s="61"/>
      <x:c r="I203" s="61"/>
      <x:c r="J203" s="61"/>
      <x:c r="K203" s="61"/>
      <x:c r="L203" s="61"/>
      <x:c r="M203" s="61"/>
      <x:c r="N203" s="61"/>
      <x:c r="O203" s="61"/>
      <x:c r="P203" s="61"/>
      <x:c r="Q203" s="61"/>
    </x:row>
    <x:row r="204">
      <x:c r="A204" s="61"/>
      <x:c r="B204" s="61"/>
      <x:c r="C204" s="61"/>
      <x:c r="D204" s="61"/>
      <x:c r="E204" s="61"/>
      <x:c r="F204" s="61"/>
      <x:c r="G204" s="61"/>
      <x:c r="H204" s="61"/>
      <x:c r="I204" s="61"/>
      <x:c r="J204" s="61"/>
      <x:c r="K204" s="61"/>
      <x:c r="L204" s="61"/>
      <x:c r="M204" s="61"/>
      <x:c r="N204" s="61"/>
      <x:c r="O204" s="61"/>
      <x:c r="P204" s="61"/>
      <x:c r="Q204" s="61"/>
    </x:row>
    <x:row r="205">
      <x:c r="A205" s="61"/>
      <x:c r="B205" s="61"/>
      <x:c r="C205" s="61"/>
      <x:c r="D205" s="61"/>
      <x:c r="E205" s="61"/>
      <x:c r="F205" s="61"/>
      <x:c r="G205" s="61"/>
      <x:c r="H205" s="61"/>
      <x:c r="I205" s="61"/>
      <x:c r="J205" s="61"/>
      <x:c r="K205" s="61"/>
      <x:c r="L205" s="61"/>
      <x:c r="M205" s="61"/>
      <x:c r="N205" s="61"/>
      <x:c r="O205" s="61"/>
      <x:c r="P205" s="61"/>
      <x:c r="Q205" s="61"/>
    </x:row>
    <x:row r="206">
      <x:c r="A206" s="61"/>
      <x:c r="B206" s="61"/>
      <x:c r="C206" s="61"/>
      <x:c r="D206" s="61"/>
      <x:c r="E206" s="61"/>
      <x:c r="F206" s="61"/>
      <x:c r="G206" s="61"/>
      <x:c r="H206" s="61"/>
      <x:c r="I206" s="61"/>
      <x:c r="J206" s="61"/>
      <x:c r="K206" s="61"/>
      <x:c r="L206" s="61"/>
      <x:c r="M206" s="61"/>
      <x:c r="N206" s="61"/>
      <x:c r="O206" s="61"/>
      <x:c r="P206" s="61"/>
      <x:c r="Q206" s="61"/>
    </x:row>
    <x:row r="207">
      <x:c r="A207" s="61"/>
      <x:c r="B207" s="61"/>
      <x:c r="C207" s="61"/>
      <x:c r="D207" s="61"/>
      <x:c r="E207" s="61"/>
      <x:c r="F207" s="61"/>
      <x:c r="G207" s="61"/>
      <x:c r="H207" s="61"/>
      <x:c r="I207" s="61"/>
      <x:c r="J207" s="61"/>
      <x:c r="K207" s="61"/>
      <x:c r="L207" s="61"/>
      <x:c r="M207" s="61"/>
      <x:c r="N207" s="61"/>
      <x:c r="O207" s="61"/>
      <x:c r="P207" s="61"/>
      <x:c r="Q207" s="61"/>
    </x:row>
    <x:row r="208">
      <x:c r="A208" s="61"/>
      <x:c r="B208" s="61"/>
      <x:c r="C208" s="61"/>
      <x:c r="D208" s="61"/>
      <x:c r="E208" s="61"/>
      <x:c r="F208" s="61"/>
      <x:c r="G208" s="61"/>
      <x:c r="H208" s="61"/>
      <x:c r="I208" s="61"/>
      <x:c r="J208" s="61"/>
      <x:c r="K208" s="61"/>
      <x:c r="L208" s="61"/>
      <x:c r="M208" s="61"/>
      <x:c r="N208" s="61"/>
      <x:c r="O208" s="61"/>
      <x:c r="P208" s="61"/>
      <x:c r="Q208" s="61"/>
    </x:row>
    <x:row r="209">
      <x:c r="A209" s="61"/>
      <x:c r="B209" s="61"/>
      <x:c r="C209" s="61"/>
      <x:c r="D209" s="61"/>
      <x:c r="E209" s="61"/>
      <x:c r="F209" s="61"/>
      <x:c r="G209" s="61"/>
      <x:c r="H209" s="61"/>
      <x:c r="I209" s="61"/>
      <x:c r="J209" s="61"/>
      <x:c r="K209" s="61"/>
      <x:c r="L209" s="61"/>
      <x:c r="M209" s="61"/>
      <x:c r="N209" s="61"/>
      <x:c r="O209" s="61"/>
      <x:c r="P209" s="61"/>
      <x:c r="Q209" s="61"/>
    </x:row>
    <x:row r="210">
      <x:c r="A210" s="61"/>
      <x:c r="B210" s="61"/>
      <x:c r="C210" s="61"/>
      <x:c r="D210" s="61"/>
      <x:c r="E210" s="61"/>
      <x:c r="F210" s="61"/>
      <x:c r="G210" s="61"/>
      <x:c r="H210" s="61"/>
      <x:c r="I210" s="61"/>
      <x:c r="J210" s="61"/>
      <x:c r="K210" s="61"/>
      <x:c r="L210" s="61"/>
      <x:c r="M210" s="61"/>
      <x:c r="N210" s="61"/>
      <x:c r="O210" s="61"/>
      <x:c r="P210" s="61"/>
      <x:c r="Q210" s="61"/>
    </x:row>
    <x:row r="211">
      <x:c r="A211" s="61"/>
      <x:c r="B211" s="61"/>
      <x:c r="C211" s="61"/>
      <x:c r="D211" s="61"/>
      <x:c r="E211" s="61"/>
      <x:c r="F211" s="61"/>
      <x:c r="G211" s="61"/>
      <x:c r="H211" s="61"/>
      <x:c r="I211" s="61"/>
      <x:c r="J211" s="61"/>
      <x:c r="K211" s="61"/>
      <x:c r="L211" s="61"/>
      <x:c r="M211" s="61"/>
      <x:c r="N211" s="61"/>
      <x:c r="O211" s="61"/>
      <x:c r="P211" s="61"/>
      <x:c r="Q211" s="61"/>
    </x:row>
    <x:row r="212">
      <x:c r="A212" s="61"/>
      <x:c r="B212" s="61"/>
      <x:c r="C212" s="61"/>
      <x:c r="D212" s="61"/>
      <x:c r="E212" s="61"/>
      <x:c r="F212" s="61"/>
      <x:c r="G212" s="61"/>
      <x:c r="H212" s="61"/>
      <x:c r="I212" s="61"/>
      <x:c r="J212" s="61"/>
      <x:c r="K212" s="61"/>
      <x:c r="L212" s="61"/>
      <x:c r="M212" s="61"/>
      <x:c r="N212" s="61"/>
      <x:c r="O212" s="61"/>
      <x:c r="P212" s="61"/>
      <x:c r="Q212" s="61"/>
    </x:row>
    <x:row r="213">
      <x:c r="A213" s="61"/>
      <x:c r="B213" s="61"/>
      <x:c r="C213" s="61"/>
      <x:c r="D213" s="61"/>
      <x:c r="E213" s="61"/>
      <x:c r="F213" s="61"/>
      <x:c r="G213" s="61"/>
      <x:c r="H213" s="61"/>
      <x:c r="I213" s="61"/>
      <x:c r="J213" s="61"/>
      <x:c r="K213" s="61"/>
      <x:c r="L213" s="61"/>
      <x:c r="M213" s="61"/>
      <x:c r="N213" s="61"/>
      <x:c r="O213" s="61"/>
      <x:c r="P213" s="61"/>
      <x:c r="Q213" s="61"/>
    </x:row>
    <x:row r="214">
      <x:c r="A214" s="61"/>
      <x:c r="B214" s="61"/>
      <x:c r="C214" s="61"/>
      <x:c r="D214" s="61"/>
      <x:c r="E214" s="61"/>
      <x:c r="F214" s="61"/>
      <x:c r="G214" s="61"/>
      <x:c r="H214" s="61"/>
      <x:c r="I214" s="61"/>
      <x:c r="J214" s="61"/>
      <x:c r="K214" s="61"/>
      <x:c r="L214" s="61"/>
      <x:c r="M214" s="61"/>
      <x:c r="N214" s="61"/>
      <x:c r="O214" s="61"/>
      <x:c r="P214" s="61"/>
      <x:c r="Q214" s="61"/>
    </x:row>
    <x:row r="215">
      <x:c r="A215" s="61"/>
      <x:c r="B215" s="61"/>
      <x:c r="C215" s="61"/>
      <x:c r="D215" s="61"/>
      <x:c r="E215" s="61"/>
      <x:c r="F215" s="61"/>
      <x:c r="G215" s="61"/>
      <x:c r="H215" s="61"/>
      <x:c r="I215" s="61"/>
      <x:c r="J215" s="61"/>
      <x:c r="K215" s="61"/>
      <x:c r="L215" s="61"/>
      <x:c r="M215" s="61"/>
      <x:c r="N215" s="61"/>
      <x:c r="O215" s="61"/>
      <x:c r="P215" s="61"/>
      <x:c r="Q215" s="61"/>
    </x:row>
    <x:row r="216">
      <x:c r="A216" s="61"/>
      <x:c r="B216" s="61"/>
      <x:c r="C216" s="61"/>
      <x:c r="D216" s="61"/>
      <x:c r="E216" s="61"/>
      <x:c r="F216" s="61"/>
      <x:c r="G216" s="61"/>
      <x:c r="H216" s="61"/>
      <x:c r="I216" s="61"/>
      <x:c r="J216" s="61"/>
      <x:c r="K216" s="61"/>
      <x:c r="L216" s="61"/>
      <x:c r="M216" s="61"/>
      <x:c r="N216" s="61"/>
      <x:c r="O216" s="61"/>
      <x:c r="P216" s="61"/>
      <x:c r="Q216" s="61"/>
    </x:row>
    <x:row r="217">
      <x:c r="A217" s="61"/>
      <x:c r="B217" s="61"/>
      <x:c r="C217" s="61"/>
      <x:c r="D217" s="61"/>
      <x:c r="E217" s="61"/>
      <x:c r="F217" s="61"/>
      <x:c r="G217" s="61"/>
      <x:c r="H217" s="61"/>
      <x:c r="I217" s="61"/>
      <x:c r="J217" s="61"/>
      <x:c r="K217" s="61"/>
      <x:c r="L217" s="61"/>
      <x:c r="M217" s="61"/>
      <x:c r="N217" s="61"/>
      <x:c r="O217" s="61"/>
      <x:c r="P217" s="61"/>
      <x:c r="Q217" s="61"/>
    </x:row>
    <x:row r="218">
      <x:c r="A218" s="61"/>
      <x:c r="B218" s="61"/>
      <x:c r="C218" s="61"/>
      <x:c r="D218" s="61"/>
      <x:c r="E218" s="61"/>
      <x:c r="F218" s="61"/>
      <x:c r="G218" s="61"/>
      <x:c r="H218" s="61"/>
      <x:c r="I218" s="61"/>
      <x:c r="J218" s="61"/>
      <x:c r="K218" s="61"/>
      <x:c r="L218" s="61"/>
      <x:c r="M218" s="61"/>
      <x:c r="N218" s="61"/>
      <x:c r="O218" s="61"/>
      <x:c r="P218" s="61"/>
      <x:c r="Q218" s="61"/>
    </x:row>
    <x:row r="219">
      <x:c r="A219" s="61"/>
      <x:c r="B219" s="61"/>
      <x:c r="C219" s="61"/>
      <x:c r="D219" s="61"/>
      <x:c r="E219" s="61"/>
      <x:c r="F219" s="61"/>
      <x:c r="G219" s="61"/>
      <x:c r="H219" s="61"/>
      <x:c r="I219" s="61"/>
      <x:c r="J219" s="61"/>
      <x:c r="K219" s="61"/>
      <x:c r="L219" s="61"/>
      <x:c r="M219" s="61"/>
      <x:c r="N219" s="61"/>
      <x:c r="O219" s="61"/>
      <x:c r="P219" s="61"/>
      <x:c r="Q219" s="61"/>
    </x:row>
    <x:row r="220">
      <x:c r="A220" s="61"/>
      <x:c r="B220" s="61"/>
      <x:c r="C220" s="61"/>
      <x:c r="D220" s="61"/>
      <x:c r="E220" s="61"/>
      <x:c r="F220" s="61"/>
      <x:c r="G220" s="61"/>
      <x:c r="H220" s="61"/>
      <x:c r="I220" s="61"/>
      <x:c r="J220" s="61"/>
      <x:c r="K220" s="61"/>
      <x:c r="L220" s="61"/>
      <x:c r="M220" s="61"/>
      <x:c r="N220" s="61"/>
      <x:c r="O220" s="61"/>
      <x:c r="P220" s="61"/>
      <x:c r="Q220" s="61"/>
    </x:row>
    <x:row r="221">
      <x:c r="A221" s="61"/>
      <x:c r="B221" s="61"/>
      <x:c r="C221" s="61"/>
      <x:c r="D221" s="61"/>
      <x:c r="E221" s="61"/>
      <x:c r="F221" s="61"/>
      <x:c r="G221" s="61"/>
      <x:c r="H221" s="61"/>
      <x:c r="I221" s="61"/>
      <x:c r="J221" s="61"/>
      <x:c r="K221" s="61"/>
      <x:c r="L221" s="61"/>
      <x:c r="M221" s="61"/>
      <x:c r="N221" s="61"/>
      <x:c r="O221" s="61"/>
      <x:c r="P221" s="61"/>
      <x:c r="Q221" s="61"/>
    </x:row>
    <x:row r="222">
      <x:c r="A222" s="61"/>
      <x:c r="B222" s="61"/>
      <x:c r="C222" s="61"/>
      <x:c r="D222" s="61"/>
      <x:c r="E222" s="61"/>
      <x:c r="F222" s="61"/>
      <x:c r="G222" s="61"/>
      <x:c r="H222" s="61"/>
      <x:c r="I222" s="61"/>
      <x:c r="J222" s="61"/>
      <x:c r="K222" s="61"/>
      <x:c r="L222" s="61"/>
      <x:c r="M222" s="61"/>
      <x:c r="N222" s="61"/>
      <x:c r="O222" s="61"/>
      <x:c r="P222" s="61"/>
      <x:c r="Q222" s="61"/>
    </x:row>
    <x:row r="223">
      <x:c r="A223" s="61"/>
      <x:c r="B223" s="61"/>
      <x:c r="C223" s="61"/>
      <x:c r="D223" s="61"/>
      <x:c r="E223" s="61"/>
      <x:c r="F223" s="61"/>
      <x:c r="G223" s="61"/>
      <x:c r="H223" s="61"/>
      <x:c r="I223" s="61"/>
      <x:c r="J223" s="61"/>
      <x:c r="K223" s="61"/>
      <x:c r="L223" s="61"/>
      <x:c r="M223" s="61"/>
      <x:c r="N223" s="61"/>
      <x:c r="O223" s="61"/>
      <x:c r="P223" s="61"/>
      <x:c r="Q223" s="61"/>
    </x:row>
    <x:row r="224">
      <x:c r="A224" s="61"/>
      <x:c r="B224" s="61"/>
      <x:c r="C224" s="61"/>
      <x:c r="D224" s="61"/>
      <x:c r="E224" s="61"/>
      <x:c r="F224" s="61"/>
      <x:c r="G224" s="61"/>
      <x:c r="H224" s="61"/>
      <x:c r="I224" s="61"/>
      <x:c r="J224" s="61"/>
      <x:c r="K224" s="61"/>
      <x:c r="L224" s="61"/>
      <x:c r="M224" s="61"/>
      <x:c r="N224" s="61"/>
      <x:c r="O224" s="61"/>
      <x:c r="P224" s="61"/>
      <x:c r="Q224" s="61"/>
    </x:row>
    <x:row r="225">
      <x:c r="A225" s="61"/>
      <x:c r="B225" s="61"/>
      <x:c r="C225" s="61"/>
      <x:c r="D225" s="61"/>
      <x:c r="E225" s="61"/>
      <x:c r="F225" s="61"/>
      <x:c r="G225" s="61"/>
      <x:c r="H225" s="61"/>
      <x:c r="I225" s="61"/>
      <x:c r="J225" s="61"/>
      <x:c r="K225" s="61"/>
      <x:c r="L225" s="61"/>
      <x:c r="M225" s="61"/>
      <x:c r="N225" s="61"/>
      <x:c r="O225" s="61"/>
      <x:c r="P225" s="61"/>
      <x:c r="Q225" s="61"/>
    </x:row>
    <x:row r="226">
      <x:c r="A226" s="61"/>
      <x:c r="B226" s="61"/>
      <x:c r="C226" s="61"/>
      <x:c r="D226" s="61"/>
      <x:c r="E226" s="61"/>
      <x:c r="F226" s="61"/>
      <x:c r="G226" s="61"/>
      <x:c r="H226" s="61"/>
      <x:c r="I226" s="61"/>
      <x:c r="J226" s="61"/>
      <x:c r="K226" s="61"/>
      <x:c r="L226" s="61"/>
      <x:c r="M226" s="61"/>
      <x:c r="N226" s="61"/>
      <x:c r="O226" s="61"/>
      <x:c r="P226" s="61"/>
      <x:c r="Q226" s="61"/>
    </x:row>
    <x:row r="227">
      <x:c r="A227" s="61"/>
      <x:c r="B227" s="61"/>
      <x:c r="C227" s="61"/>
      <x:c r="D227" s="61"/>
      <x:c r="E227" s="61"/>
      <x:c r="F227" s="61"/>
      <x:c r="G227" s="61"/>
      <x:c r="H227" s="61"/>
      <x:c r="I227" s="61"/>
      <x:c r="J227" s="61"/>
      <x:c r="K227" s="61"/>
      <x:c r="L227" s="61"/>
      <x:c r="M227" s="61"/>
      <x:c r="N227" s="61"/>
      <x:c r="O227" s="61"/>
      <x:c r="P227" s="61"/>
      <x:c r="Q227" s="61"/>
    </x:row>
    <x:row r="228">
      <x:c r="A228" s="61"/>
      <x:c r="B228" s="61"/>
      <x:c r="C228" s="61"/>
      <x:c r="D228" s="61"/>
      <x:c r="E228" s="61"/>
      <x:c r="F228" s="61"/>
      <x:c r="G228" s="61"/>
      <x:c r="H228" s="61"/>
      <x:c r="I228" s="61"/>
      <x:c r="J228" s="61"/>
      <x:c r="K228" s="61"/>
      <x:c r="L228" s="61"/>
      <x:c r="M228" s="61"/>
      <x:c r="N228" s="61"/>
      <x:c r="O228" s="61"/>
      <x:c r="P228" s="61"/>
      <x:c r="Q228" s="61"/>
    </x:row>
    <x:row r="229">
      <x:c r="A229" s="61"/>
      <x:c r="B229" s="61"/>
      <x:c r="C229" s="61"/>
      <x:c r="D229" s="61"/>
      <x:c r="E229" s="61"/>
      <x:c r="F229" s="61"/>
      <x:c r="G229" s="61"/>
      <x:c r="H229" s="61"/>
      <x:c r="I229" s="61"/>
      <x:c r="J229" s="61"/>
      <x:c r="K229" s="61"/>
      <x:c r="L229" s="61"/>
      <x:c r="M229" s="61"/>
      <x:c r="N229" s="61"/>
      <x:c r="O229" s="61"/>
      <x:c r="P229" s="61"/>
      <x:c r="Q229" s="61"/>
    </x:row>
    <x:row r="230">
      <x:c r="A230" s="61"/>
      <x:c r="B230" s="61"/>
      <x:c r="C230" s="61"/>
      <x:c r="D230" s="61"/>
      <x:c r="E230" s="61"/>
      <x:c r="F230" s="61"/>
      <x:c r="G230" s="61"/>
      <x:c r="H230" s="61"/>
      <x:c r="I230" s="61"/>
      <x:c r="J230" s="61"/>
      <x:c r="K230" s="61"/>
      <x:c r="L230" s="61"/>
      <x:c r="M230" s="61"/>
      <x:c r="N230" s="61"/>
      <x:c r="O230" s="61"/>
      <x:c r="P230" s="61"/>
      <x:c r="Q230" s="61"/>
    </x:row>
    <x:row r="231">
      <x:c r="A231" s="61"/>
      <x:c r="B231" s="61"/>
      <x:c r="C231" s="61"/>
      <x:c r="D231" s="61"/>
      <x:c r="E231" s="61"/>
      <x:c r="F231" s="61"/>
      <x:c r="G231" s="61"/>
      <x:c r="H231" s="61"/>
      <x:c r="I231" s="61"/>
      <x:c r="J231" s="61"/>
      <x:c r="K231" s="61"/>
      <x:c r="L231" s="61"/>
      <x:c r="M231" s="61"/>
      <x:c r="N231" s="61"/>
      <x:c r="O231" s="61"/>
      <x:c r="P231" s="61"/>
      <x:c r="Q231" s="61"/>
    </x:row>
    <x:row r="232">
      <x:c r="A232" s="61"/>
      <x:c r="B232" s="61"/>
      <x:c r="C232" s="61"/>
      <x:c r="D232" s="61"/>
      <x:c r="E232" s="61"/>
      <x:c r="F232" s="61"/>
      <x:c r="G232" s="61"/>
      <x:c r="H232" s="61"/>
      <x:c r="I232" s="61"/>
      <x:c r="J232" s="61"/>
      <x:c r="K232" s="61"/>
      <x:c r="L232" s="61"/>
      <x:c r="M232" s="61"/>
      <x:c r="N232" s="61"/>
      <x:c r="O232" s="61"/>
      <x:c r="P232" s="61"/>
      <x:c r="Q232" s="61"/>
    </x:row>
    <x:row r="233">
      <x:c r="A233" s="61"/>
      <x:c r="B233" s="61"/>
      <x:c r="C233" s="61"/>
      <x:c r="D233" s="61"/>
      <x:c r="E233" s="61"/>
      <x:c r="F233" s="61"/>
      <x:c r="G233" s="61"/>
      <x:c r="H233" s="61"/>
      <x:c r="I233" s="61"/>
      <x:c r="J233" s="61"/>
      <x:c r="K233" s="61"/>
      <x:c r="L233" s="61"/>
      <x:c r="M233" s="61"/>
      <x:c r="N233" s="61"/>
      <x:c r="O233" s="61"/>
      <x:c r="P233" s="61"/>
      <x:c r="Q233" s="61"/>
    </x:row>
    <x:row r="234">
      <x:c r="A234" s="61"/>
      <x:c r="B234" s="61"/>
      <x:c r="C234" s="61"/>
      <x:c r="D234" s="61"/>
      <x:c r="E234" s="61"/>
      <x:c r="F234" s="61"/>
      <x:c r="G234" s="61"/>
      <x:c r="H234" s="61"/>
      <x:c r="I234" s="61"/>
      <x:c r="J234" s="61"/>
      <x:c r="K234" s="61"/>
      <x:c r="L234" s="61"/>
      <x:c r="M234" s="61"/>
      <x:c r="N234" s="61"/>
      <x:c r="O234" s="61"/>
      <x:c r="P234" s="61"/>
      <x:c r="Q234" s="61"/>
    </x:row>
    <x:row r="235">
      <x:c r="A235" s="61"/>
      <x:c r="B235" s="61"/>
      <x:c r="C235" s="61"/>
      <x:c r="D235" s="61"/>
      <x:c r="E235" s="61"/>
      <x:c r="F235" s="61"/>
      <x:c r="G235" s="61"/>
      <x:c r="H235" s="61"/>
      <x:c r="I235" s="61"/>
      <x:c r="J235" s="61"/>
      <x:c r="K235" s="61"/>
      <x:c r="L235" s="61"/>
      <x:c r="M235" s="61"/>
      <x:c r="N235" s="61"/>
      <x:c r="O235" s="61"/>
      <x:c r="P235" s="61"/>
      <x:c r="Q235" s="61"/>
    </x:row>
    <x:row r="236">
      <x:c r="A236" s="61"/>
      <x:c r="B236" s="61"/>
      <x:c r="C236" s="61"/>
      <x:c r="D236" s="61"/>
      <x:c r="E236" s="61"/>
      <x:c r="F236" s="61"/>
      <x:c r="G236" s="61"/>
      <x:c r="H236" s="61"/>
      <x:c r="I236" s="61"/>
      <x:c r="J236" s="61"/>
      <x:c r="K236" s="61"/>
      <x:c r="L236" s="61"/>
      <x:c r="M236" s="61"/>
      <x:c r="N236" s="61"/>
      <x:c r="O236" s="61"/>
      <x:c r="P236" s="61"/>
      <x:c r="Q236" s="61"/>
    </x:row>
    <x:row r="237">
      <x:c r="A237" s="61"/>
      <x:c r="B237" s="61"/>
      <x:c r="C237" s="61"/>
      <x:c r="D237" s="61"/>
      <x:c r="E237" s="61"/>
      <x:c r="F237" s="61"/>
      <x:c r="G237" s="61"/>
      <x:c r="H237" s="61"/>
      <x:c r="I237" s="61"/>
      <x:c r="J237" s="61"/>
      <x:c r="K237" s="61"/>
      <x:c r="L237" s="61"/>
      <x:c r="M237" s="61"/>
      <x:c r="N237" s="61"/>
      <x:c r="O237" s="61"/>
      <x:c r="P237" s="61"/>
      <x:c r="Q237" s="61"/>
    </x:row>
    <x:row r="238">
      <x:c r="A238" s="61"/>
      <x:c r="B238" s="61"/>
      <x:c r="C238" s="61"/>
      <x:c r="D238" s="61"/>
      <x:c r="E238" s="61"/>
      <x:c r="F238" s="61"/>
      <x:c r="G238" s="61"/>
      <x:c r="H238" s="61"/>
      <x:c r="I238" s="61"/>
      <x:c r="J238" s="61"/>
      <x:c r="K238" s="61"/>
      <x:c r="L238" s="61"/>
      <x:c r="M238" s="61"/>
      <x:c r="N238" s="61"/>
      <x:c r="O238" s="61"/>
      <x:c r="P238" s="61"/>
      <x:c r="Q238" s="61"/>
    </x:row>
    <x:row r="239">
      <x:c r="A239" s="61"/>
      <x:c r="B239" s="61"/>
      <x:c r="C239" s="61"/>
      <x:c r="D239" s="61"/>
      <x:c r="E239" s="61"/>
      <x:c r="F239" s="61"/>
      <x:c r="G239" s="61"/>
      <x:c r="H239" s="61"/>
      <x:c r="I239" s="61"/>
      <x:c r="J239" s="61"/>
      <x:c r="K239" s="61"/>
      <x:c r="L239" s="61"/>
      <x:c r="M239" s="61"/>
      <x:c r="N239" s="61"/>
      <x:c r="O239" s="61"/>
      <x:c r="P239" s="61"/>
      <x:c r="Q239" s="61"/>
    </x:row>
    <x:row r="240">
      <x:c r="A240" s="61"/>
      <x:c r="B240" s="61"/>
      <x:c r="C240" s="61"/>
      <x:c r="D240" s="61"/>
      <x:c r="E240" s="61"/>
      <x:c r="F240" s="61"/>
      <x:c r="G240" s="61"/>
      <x:c r="H240" s="61"/>
      <x:c r="I240" s="61"/>
      <x:c r="J240" s="61"/>
      <x:c r="K240" s="61"/>
      <x:c r="L240" s="61"/>
      <x:c r="M240" s="61"/>
      <x:c r="N240" s="61"/>
      <x:c r="O240" s="61"/>
      <x:c r="P240" s="61"/>
      <x:c r="Q240" s="61"/>
    </x:row>
    <x:row r="241">
      <x:c r="A241" s="61"/>
      <x:c r="B241" s="61"/>
      <x:c r="C241" s="61"/>
      <x:c r="D241" s="61"/>
      <x:c r="E241" s="61"/>
      <x:c r="F241" s="61"/>
      <x:c r="G241" s="61"/>
      <x:c r="H241" s="61"/>
      <x:c r="I241" s="61"/>
      <x:c r="J241" s="61"/>
      <x:c r="K241" s="61"/>
      <x:c r="L241" s="61"/>
      <x:c r="M241" s="61"/>
      <x:c r="N241" s="61"/>
      <x:c r="O241" s="61"/>
      <x:c r="P241" s="61"/>
      <x:c r="Q241" s="61"/>
    </x:row>
    <x:row r="242">
      <x:c r="A242" s="61"/>
      <x:c r="B242" s="61"/>
      <x:c r="C242" s="61"/>
      <x:c r="D242" s="61"/>
      <x:c r="E242" s="61"/>
      <x:c r="F242" s="61"/>
      <x:c r="G242" s="61"/>
      <x:c r="H242" s="61"/>
      <x:c r="I242" s="61"/>
      <x:c r="J242" s="61"/>
      <x:c r="K242" s="61"/>
      <x:c r="L242" s="61"/>
      <x:c r="M242" s="61"/>
      <x:c r="N242" s="61"/>
      <x:c r="O242" s="61"/>
      <x:c r="P242" s="61"/>
      <x:c r="Q242" s="61"/>
    </x:row>
    <x:row r="243">
      <x:c r="A243" s="61"/>
      <x:c r="B243" s="61"/>
      <x:c r="C243" s="61"/>
      <x:c r="D243" s="61"/>
      <x:c r="E243" s="61"/>
      <x:c r="F243" s="61"/>
      <x:c r="G243" s="61"/>
      <x:c r="H243" s="61"/>
      <x:c r="I243" s="61"/>
      <x:c r="J243" s="61"/>
      <x:c r="K243" s="61"/>
      <x:c r="L243" s="61"/>
      <x:c r="M243" s="61"/>
      <x:c r="N243" s="61"/>
      <x:c r="O243" s="61"/>
      <x:c r="P243" s="61"/>
      <x:c r="Q243" s="61"/>
    </x:row>
    <x:row r="244">
      <x:c r="A244" s="61"/>
      <x:c r="B244" s="61"/>
      <x:c r="C244" s="61"/>
      <x:c r="D244" s="61"/>
      <x:c r="E244" s="61"/>
      <x:c r="F244" s="61"/>
      <x:c r="G244" s="61"/>
      <x:c r="H244" s="61"/>
      <x:c r="I244" s="61"/>
      <x:c r="J244" s="61"/>
      <x:c r="K244" s="61"/>
      <x:c r="L244" s="61"/>
      <x:c r="M244" s="61"/>
      <x:c r="N244" s="61"/>
      <x:c r="O244" s="61"/>
      <x:c r="P244" s="61"/>
      <x:c r="Q244" s="61"/>
    </x:row>
    <x:row r="245">
      <x:c r="A245" s="61"/>
      <x:c r="B245" s="61"/>
      <x:c r="C245" s="61"/>
      <x:c r="D245" s="61"/>
      <x:c r="E245" s="61"/>
      <x:c r="F245" s="61"/>
      <x:c r="G245" s="61"/>
      <x:c r="H245" s="61"/>
      <x:c r="I245" s="61"/>
      <x:c r="J245" s="61"/>
      <x:c r="K245" s="61"/>
      <x:c r="L245" s="61"/>
      <x:c r="M245" s="61"/>
      <x:c r="N245" s="61"/>
      <x:c r="O245" s="61"/>
      <x:c r="P245" s="61"/>
      <x:c r="Q245" s="61"/>
    </x:row>
    <x:row r="246">
      <x:c r="A246" s="61"/>
      <x:c r="B246" s="61"/>
      <x:c r="C246" s="61"/>
      <x:c r="D246" s="61"/>
      <x:c r="E246" s="61"/>
      <x:c r="F246" s="61"/>
      <x:c r="G246" s="61"/>
      <x:c r="H246" s="61"/>
      <x:c r="I246" s="61"/>
      <x:c r="J246" s="61"/>
      <x:c r="K246" s="61"/>
      <x:c r="L246" s="61"/>
      <x:c r="M246" s="61"/>
      <x:c r="N246" s="61"/>
      <x:c r="O246" s="61"/>
      <x:c r="P246" s="61"/>
      <x:c r="Q246" s="61"/>
    </x:row>
    <x:row r="247">
      <x:c r="A247" s="61"/>
      <x:c r="B247" s="61"/>
      <x:c r="C247" s="61"/>
      <x:c r="D247" s="61"/>
      <x:c r="E247" s="61"/>
      <x:c r="F247" s="61"/>
      <x:c r="G247" s="61"/>
      <x:c r="H247" s="61"/>
      <x:c r="I247" s="61"/>
      <x:c r="J247" s="61"/>
      <x:c r="K247" s="61"/>
      <x:c r="L247" s="61"/>
      <x:c r="M247" s="61"/>
      <x:c r="N247" s="61"/>
      <x:c r="O247" s="61"/>
      <x:c r="P247" s="61"/>
      <x:c r="Q247" s="61"/>
    </x:row>
    <x:row r="248">
      <x:c r="A248" s="61"/>
      <x:c r="B248" s="61"/>
      <x:c r="C248" s="61"/>
      <x:c r="D248" s="61"/>
      <x:c r="E248" s="61"/>
      <x:c r="F248" s="61"/>
      <x:c r="G248" s="61"/>
      <x:c r="H248" s="61"/>
      <x:c r="I248" s="61"/>
      <x:c r="J248" s="61"/>
      <x:c r="K248" s="61"/>
      <x:c r="L248" s="61"/>
      <x:c r="M248" s="61"/>
      <x:c r="N248" s="61"/>
      <x:c r="O248" s="61"/>
      <x:c r="P248" s="61"/>
      <x:c r="Q248" s="61"/>
    </x:row>
    <x:row r="249">
      <x:c r="A249" s="61"/>
      <x:c r="B249" s="61"/>
      <x:c r="C249" s="61"/>
      <x:c r="D249" s="61"/>
      <x:c r="E249" s="61"/>
      <x:c r="F249" s="61"/>
      <x:c r="G249" s="61"/>
      <x:c r="H249" s="61"/>
      <x:c r="I249" s="61"/>
      <x:c r="J249" s="61"/>
      <x:c r="K249" s="61"/>
      <x:c r="L249" s="61"/>
      <x:c r="M249" s="61"/>
      <x:c r="N249" s="61"/>
      <x:c r="O249" s="61"/>
      <x:c r="P249" s="61"/>
      <x:c r="Q249" s="61"/>
    </x:row>
    <x:row r="250">
      <x:c r="A250" s="61"/>
      <x:c r="B250" s="61"/>
      <x:c r="C250" s="61"/>
      <x:c r="D250" s="61"/>
      <x:c r="E250" s="61"/>
      <x:c r="F250" s="61"/>
      <x:c r="G250" s="61"/>
      <x:c r="H250" s="61"/>
      <x:c r="I250" s="61"/>
      <x:c r="J250" s="61"/>
      <x:c r="K250" s="61"/>
      <x:c r="L250" s="61"/>
      <x:c r="M250" s="61"/>
      <x:c r="N250" s="61"/>
      <x:c r="O250" s="61"/>
      <x:c r="P250" s="61"/>
      <x:c r="Q250" s="61"/>
    </x:row>
    <x:row r="251">
      <x:c r="A251" s="61"/>
      <x:c r="B251" s="61"/>
      <x:c r="C251" s="61"/>
      <x:c r="D251" s="61"/>
      <x:c r="E251" s="61"/>
      <x:c r="F251" s="61"/>
      <x:c r="G251" s="61"/>
      <x:c r="H251" s="61"/>
      <x:c r="I251" s="61"/>
      <x:c r="J251" s="61"/>
      <x:c r="K251" s="61"/>
      <x:c r="L251" s="61"/>
      <x:c r="M251" s="61"/>
      <x:c r="N251" s="61"/>
      <x:c r="O251" s="61"/>
      <x:c r="P251" s="61"/>
      <x:c r="Q251" s="61"/>
    </x:row>
    <x:row r="252">
      <x:c r="A252" s="61"/>
      <x:c r="B252" s="61"/>
      <x:c r="C252" s="61"/>
      <x:c r="D252" s="61"/>
      <x:c r="E252" s="61"/>
      <x:c r="F252" s="61"/>
      <x:c r="G252" s="61"/>
      <x:c r="H252" s="61"/>
      <x:c r="I252" s="61"/>
      <x:c r="J252" s="61"/>
      <x:c r="K252" s="61"/>
      <x:c r="L252" s="61"/>
      <x:c r="M252" s="61"/>
      <x:c r="N252" s="61"/>
      <x:c r="O252" s="61"/>
      <x:c r="P252" s="61"/>
      <x:c r="Q252" s="61"/>
    </x:row>
    <x:row r="253">
      <x:c r="A253" s="61"/>
      <x:c r="B253" s="61"/>
      <x:c r="C253" s="61"/>
      <x:c r="D253" s="61"/>
      <x:c r="E253" s="61"/>
      <x:c r="F253" s="61"/>
      <x:c r="G253" s="61"/>
      <x:c r="H253" s="61"/>
      <x:c r="I253" s="61"/>
      <x:c r="J253" s="61"/>
      <x:c r="K253" s="61"/>
      <x:c r="L253" s="61"/>
      <x:c r="M253" s="61"/>
      <x:c r="N253" s="61"/>
      <x:c r="O253" s="61"/>
      <x:c r="P253" s="61"/>
      <x:c r="Q253" s="61"/>
    </x:row>
    <x:row r="254">
      <x:c r="A254" s="61"/>
      <x:c r="B254" s="61"/>
      <x:c r="C254" s="61"/>
      <x:c r="D254" s="61"/>
      <x:c r="E254" s="61"/>
      <x:c r="F254" s="61"/>
      <x:c r="G254" s="61"/>
      <x:c r="H254" s="61"/>
      <x:c r="I254" s="61"/>
      <x:c r="J254" s="61"/>
      <x:c r="K254" s="61"/>
      <x:c r="L254" s="61"/>
      <x:c r="M254" s="61"/>
      <x:c r="N254" s="61"/>
      <x:c r="O254" s="61"/>
      <x:c r="P254" s="61"/>
      <x:c r="Q254" s="61"/>
    </x:row>
    <x:row r="255">
      <x:c r="A255" s="61"/>
      <x:c r="B255" s="61"/>
      <x:c r="C255" s="61"/>
      <x:c r="D255" s="61"/>
      <x:c r="E255" s="61"/>
      <x:c r="F255" s="61"/>
      <x:c r="G255" s="61"/>
      <x:c r="H255" s="61"/>
      <x:c r="I255" s="61"/>
      <x:c r="J255" s="61"/>
      <x:c r="K255" s="61"/>
      <x:c r="L255" s="61"/>
      <x:c r="M255" s="61"/>
      <x:c r="N255" s="61"/>
      <x:c r="O255" s="61"/>
      <x:c r="P255" s="61"/>
      <x:c r="Q255" s="61"/>
    </x:row>
    <x:row r="256">
      <x:c r="A256" s="61"/>
      <x:c r="B256" s="61"/>
      <x:c r="C256" s="61"/>
      <x:c r="D256" s="61"/>
      <x:c r="E256" s="61"/>
      <x:c r="F256" s="61"/>
      <x:c r="G256" s="61"/>
      <x:c r="H256" s="61"/>
      <x:c r="I256" s="61"/>
      <x:c r="J256" s="61"/>
      <x:c r="K256" s="61"/>
      <x:c r="L256" s="61"/>
      <x:c r="M256" s="61"/>
      <x:c r="N256" s="61"/>
      <x:c r="O256" s="61"/>
      <x:c r="P256" s="61"/>
      <x:c r="Q256" s="61"/>
    </x:row>
    <x:row r="257">
      <x:c r="A257" s="61"/>
      <x:c r="B257" s="61"/>
      <x:c r="C257" s="61"/>
      <x:c r="D257" s="61"/>
      <x:c r="E257" s="61"/>
      <x:c r="F257" s="61"/>
      <x:c r="G257" s="61"/>
      <x:c r="H257" s="61"/>
      <x:c r="I257" s="61"/>
      <x:c r="J257" s="61"/>
      <x:c r="K257" s="61"/>
      <x:c r="L257" s="61"/>
      <x:c r="M257" s="61"/>
      <x:c r="N257" s="61"/>
      <x:c r="O257" s="61"/>
      <x:c r="P257" s="61"/>
      <x:c r="Q257" s="61"/>
    </x:row>
    <x:row r="258">
      <x:c r="A258" s="61"/>
      <x:c r="B258" s="61"/>
      <x:c r="C258" s="61"/>
      <x:c r="D258" s="61"/>
      <x:c r="E258" s="61"/>
      <x:c r="F258" s="61"/>
      <x:c r="G258" s="61"/>
      <x:c r="H258" s="61"/>
      <x:c r="I258" s="61"/>
      <x:c r="J258" s="61"/>
      <x:c r="K258" s="61"/>
      <x:c r="L258" s="61"/>
      <x:c r="M258" s="61"/>
      <x:c r="N258" s="61"/>
      <x:c r="O258" s="61"/>
      <x:c r="P258" s="61"/>
      <x:c r="Q258" s="61"/>
    </x:row>
    <x:row r="259">
      <x:c r="A259" s="61"/>
      <x:c r="B259" s="61"/>
      <x:c r="C259" s="61"/>
      <x:c r="D259" s="61"/>
      <x:c r="E259" s="61"/>
      <x:c r="F259" s="61"/>
      <x:c r="G259" s="61"/>
      <x:c r="H259" s="61"/>
      <x:c r="I259" s="61"/>
      <x:c r="J259" s="61"/>
      <x:c r="K259" s="61"/>
      <x:c r="L259" s="61"/>
      <x:c r="M259" s="61"/>
      <x:c r="N259" s="61"/>
      <x:c r="O259" s="61"/>
      <x:c r="P259" s="61"/>
      <x:c r="Q259" s="61"/>
    </x:row>
    <x:row r="260">
      <x:c r="A260" s="61"/>
      <x:c r="B260" s="61"/>
      <x:c r="C260" s="61"/>
      <x:c r="D260" s="61"/>
      <x:c r="E260" s="61"/>
      <x:c r="F260" s="61"/>
      <x:c r="G260" s="61"/>
      <x:c r="H260" s="61"/>
      <x:c r="I260" s="61"/>
      <x:c r="J260" s="61"/>
      <x:c r="K260" s="61"/>
      <x:c r="L260" s="61"/>
      <x:c r="M260" s="61"/>
      <x:c r="N260" s="61"/>
      <x:c r="O260" s="61"/>
      <x:c r="P260" s="61"/>
      <x:c r="Q260" s="61"/>
    </x:row>
    <x:row r="261">
      <x:c r="A261" s="61"/>
      <x:c r="B261" s="61"/>
      <x:c r="C261" s="61"/>
      <x:c r="D261" s="61"/>
      <x:c r="E261" s="61"/>
      <x:c r="F261" s="61"/>
      <x:c r="G261" s="61"/>
      <x:c r="H261" s="61"/>
      <x:c r="I261" s="61"/>
      <x:c r="J261" s="61"/>
      <x:c r="K261" s="61"/>
      <x:c r="L261" s="61"/>
      <x:c r="M261" s="61"/>
      <x:c r="N261" s="61"/>
      <x:c r="O261" s="61"/>
      <x:c r="P261" s="61"/>
      <x:c r="Q261" s="61"/>
    </x:row>
    <x:row r="262">
      <x:c r="A262" s="61"/>
      <x:c r="B262" s="61"/>
      <x:c r="C262" s="61"/>
      <x:c r="D262" s="61"/>
      <x:c r="E262" s="61"/>
      <x:c r="F262" s="61"/>
      <x:c r="G262" s="61"/>
      <x:c r="H262" s="61"/>
      <x:c r="I262" s="61"/>
      <x:c r="J262" s="61"/>
      <x:c r="K262" s="61"/>
      <x:c r="L262" s="61"/>
      <x:c r="M262" s="61"/>
      <x:c r="N262" s="61"/>
      <x:c r="O262" s="61"/>
      <x:c r="P262" s="61"/>
      <x:c r="Q262" s="61"/>
    </x:row>
    <x:row r="263">
      <x:c r="A263" s="61"/>
      <x:c r="B263" s="61"/>
      <x:c r="C263" s="61"/>
      <x:c r="D263" s="61"/>
      <x:c r="E263" s="61"/>
      <x:c r="F263" s="61"/>
      <x:c r="G263" s="61"/>
      <x:c r="H263" s="61"/>
      <x:c r="I263" s="61"/>
      <x:c r="J263" s="61"/>
      <x:c r="K263" s="61"/>
      <x:c r="L263" s="61"/>
      <x:c r="M263" s="61"/>
      <x:c r="N263" s="61"/>
      <x:c r="O263" s="61"/>
      <x:c r="P263" s="61"/>
      <x:c r="Q263" s="61"/>
    </x:row>
    <x:row r="264">
      <x:c r="A264" s="61"/>
      <x:c r="B264" s="61"/>
      <x:c r="C264" s="61"/>
      <x:c r="D264" s="61"/>
      <x:c r="E264" s="61"/>
      <x:c r="F264" s="61"/>
      <x:c r="G264" s="61"/>
      <x:c r="H264" s="61"/>
      <x:c r="I264" s="61"/>
      <x:c r="J264" s="61"/>
      <x:c r="K264" s="61"/>
      <x:c r="L264" s="61"/>
      <x:c r="M264" s="61"/>
      <x:c r="N264" s="61"/>
      <x:c r="O264" s="61"/>
      <x:c r="P264" s="61"/>
      <x:c r="Q264" s="61"/>
    </x:row>
    <x:row r="265">
      <x:c r="A265" s="61"/>
      <x:c r="B265" s="61"/>
      <x:c r="C265" s="61"/>
      <x:c r="D265" s="61"/>
      <x:c r="E265" s="61"/>
      <x:c r="F265" s="61"/>
      <x:c r="G265" s="61"/>
      <x:c r="H265" s="61"/>
      <x:c r="I265" s="61"/>
      <x:c r="J265" s="61"/>
      <x:c r="K265" s="61"/>
      <x:c r="L265" s="61"/>
      <x:c r="M265" s="61"/>
      <x:c r="N265" s="61"/>
      <x:c r="O265" s="61"/>
      <x:c r="P265" s="61"/>
      <x:c r="Q265" s="61"/>
    </x:row>
    <x:row r="266">
      <x:c r="A266" s="61"/>
      <x:c r="B266" s="61"/>
      <x:c r="C266" s="61"/>
      <x:c r="D266" s="61"/>
      <x:c r="E266" s="61"/>
      <x:c r="F266" s="61"/>
      <x:c r="G266" s="61"/>
      <x:c r="H266" s="61"/>
      <x:c r="I266" s="61"/>
      <x:c r="J266" s="61"/>
      <x:c r="K266" s="61"/>
      <x:c r="L266" s="61"/>
      <x:c r="M266" s="61"/>
      <x:c r="N266" s="61"/>
      <x:c r="O266" s="61"/>
      <x:c r="P266" s="61"/>
      <x:c r="Q266" s="61"/>
    </x:row>
    <x:row r="267">
      <x:c r="A267" s="61"/>
      <x:c r="B267" s="61"/>
      <x:c r="C267" s="61"/>
      <x:c r="D267" s="61"/>
      <x:c r="E267" s="61"/>
      <x:c r="F267" s="61"/>
      <x:c r="G267" s="61"/>
      <x:c r="H267" s="61"/>
      <x:c r="I267" s="61"/>
      <x:c r="J267" s="61"/>
      <x:c r="K267" s="61"/>
      <x:c r="L267" s="61"/>
      <x:c r="M267" s="61"/>
      <x:c r="N267" s="61"/>
      <x:c r="O267" s="61"/>
      <x:c r="P267" s="61"/>
      <x:c r="Q267" s="61"/>
    </x:row>
    <x:row r="268">
      <x:c r="A268" s="61"/>
      <x:c r="B268" s="61"/>
      <x:c r="C268" s="61"/>
      <x:c r="D268" s="61"/>
      <x:c r="E268" s="61"/>
      <x:c r="F268" s="61"/>
      <x:c r="G268" s="61"/>
      <x:c r="H268" s="61"/>
      <x:c r="I268" s="61"/>
      <x:c r="J268" s="61"/>
      <x:c r="K268" s="61"/>
      <x:c r="L268" s="61"/>
      <x:c r="M268" s="61"/>
      <x:c r="N268" s="61"/>
      <x:c r="O268" s="61"/>
      <x:c r="P268" s="61"/>
      <x:c r="Q268" s="61"/>
    </x:row>
    <x:row r="269">
      <x:c r="A269" s="61"/>
      <x:c r="B269" s="61"/>
      <x:c r="C269" s="61"/>
      <x:c r="D269" s="61"/>
      <x:c r="E269" s="61"/>
      <x:c r="F269" s="61"/>
      <x:c r="G269" s="61"/>
      <x:c r="H269" s="61"/>
      <x:c r="I269" s="61"/>
      <x:c r="J269" s="61"/>
      <x:c r="K269" s="61"/>
      <x:c r="L269" s="61"/>
      <x:c r="M269" s="61"/>
      <x:c r="N269" s="61"/>
      <x:c r="O269" s="61"/>
      <x:c r="P269" s="61"/>
      <x:c r="Q269" s="61"/>
    </x:row>
    <x:row r="270">
      <x:c r="A270" s="61"/>
      <x:c r="B270" s="61"/>
      <x:c r="C270" s="61"/>
      <x:c r="D270" s="61"/>
      <x:c r="E270" s="61"/>
      <x:c r="F270" s="61"/>
      <x:c r="G270" s="61"/>
      <x:c r="H270" s="61"/>
      <x:c r="I270" s="61"/>
      <x:c r="J270" s="61"/>
      <x:c r="K270" s="61"/>
      <x:c r="L270" s="61"/>
      <x:c r="M270" s="61"/>
      <x:c r="N270" s="61"/>
      <x:c r="O270" s="61"/>
      <x:c r="P270" s="61"/>
      <x:c r="Q270" s="61"/>
    </x:row>
    <x:row r="271">
      <x:c r="A271" s="61"/>
      <x:c r="B271" s="61"/>
      <x:c r="C271" s="61"/>
      <x:c r="D271" s="61"/>
      <x:c r="E271" s="61"/>
      <x:c r="F271" s="61"/>
      <x:c r="G271" s="61"/>
      <x:c r="H271" s="61"/>
      <x:c r="I271" s="61"/>
      <x:c r="J271" s="61"/>
      <x:c r="K271" s="61"/>
      <x:c r="L271" s="61"/>
      <x:c r="M271" s="61"/>
      <x:c r="N271" s="61"/>
      <x:c r="O271" s="61"/>
      <x:c r="P271" s="61"/>
      <x:c r="Q271" s="61"/>
    </x:row>
    <x:row r="272">
      <x:c r="A272" s="61"/>
      <x:c r="B272" s="61"/>
      <x:c r="C272" s="61"/>
      <x:c r="D272" s="61"/>
      <x:c r="E272" s="61"/>
      <x:c r="F272" s="61"/>
      <x:c r="G272" s="61"/>
      <x:c r="H272" s="61"/>
      <x:c r="I272" s="61"/>
      <x:c r="J272" s="61"/>
      <x:c r="K272" s="61"/>
      <x:c r="L272" s="61"/>
      <x:c r="M272" s="61"/>
      <x:c r="N272" s="61"/>
      <x:c r="O272" s="61"/>
      <x:c r="P272" s="61"/>
      <x:c r="Q272" s="61"/>
    </x:row>
    <x:row r="273">
      <x:c r="A273" s="61"/>
      <x:c r="B273" s="61"/>
      <x:c r="C273" s="61"/>
      <x:c r="D273" s="61"/>
      <x:c r="E273" s="61"/>
      <x:c r="F273" s="61"/>
      <x:c r="G273" s="61"/>
      <x:c r="H273" s="61"/>
      <x:c r="I273" s="61"/>
      <x:c r="J273" s="61"/>
      <x:c r="K273" s="61"/>
      <x:c r="L273" s="61"/>
      <x:c r="M273" s="61"/>
      <x:c r="N273" s="61"/>
      <x:c r="O273" s="61"/>
      <x:c r="P273" s="61"/>
      <x:c r="Q273" s="61"/>
    </x:row>
    <x:row r="274">
      <x:c r="A274" s="61"/>
      <x:c r="B274" s="61"/>
      <x:c r="C274" s="61"/>
      <x:c r="D274" s="61"/>
      <x:c r="E274" s="61"/>
      <x:c r="F274" s="61"/>
      <x:c r="G274" s="61"/>
      <x:c r="H274" s="61"/>
      <x:c r="I274" s="61"/>
      <x:c r="J274" s="61"/>
      <x:c r="K274" s="61"/>
      <x:c r="L274" s="61"/>
      <x:c r="M274" s="61"/>
      <x:c r="N274" s="61"/>
      <x:c r="O274" s="61"/>
      <x:c r="P274" s="61"/>
      <x:c r="Q274" s="61"/>
    </x:row>
    <x:row r="275">
      <x:c r="A275" s="61"/>
      <x:c r="B275" s="61"/>
      <x:c r="C275" s="61"/>
      <x:c r="D275" s="61"/>
      <x:c r="E275" s="61"/>
      <x:c r="F275" s="61"/>
      <x:c r="G275" s="61"/>
      <x:c r="H275" s="61"/>
      <x:c r="I275" s="61"/>
      <x:c r="J275" s="61"/>
      <x:c r="K275" s="61"/>
      <x:c r="L275" s="61"/>
      <x:c r="M275" s="61"/>
      <x:c r="N275" s="61"/>
      <x:c r="O275" s="61"/>
      <x:c r="P275" s="61"/>
      <x:c r="Q275" s="61"/>
    </x:row>
    <x:row r="276">
      <x:c r="A276" s="61"/>
      <x:c r="B276" s="61"/>
      <x:c r="C276" s="61"/>
      <x:c r="D276" s="61"/>
      <x:c r="E276" s="61"/>
      <x:c r="F276" s="61"/>
      <x:c r="G276" s="61"/>
      <x:c r="H276" s="61"/>
      <x:c r="I276" s="61"/>
      <x:c r="J276" s="61"/>
      <x:c r="K276" s="61"/>
      <x:c r="L276" s="61"/>
      <x:c r="M276" s="61"/>
      <x:c r="N276" s="61"/>
      <x:c r="O276" s="61"/>
      <x:c r="P276" s="61"/>
      <x:c r="Q276" s="61"/>
    </x:row>
    <x:row r="277">
      <x:c r="A277" s="61"/>
      <x:c r="B277" s="61"/>
      <x:c r="C277" s="61"/>
      <x:c r="D277" s="61"/>
      <x:c r="E277" s="61"/>
      <x:c r="F277" s="61"/>
      <x:c r="G277" s="61"/>
      <x:c r="H277" s="61"/>
      <x:c r="I277" s="61"/>
      <x:c r="J277" s="61"/>
      <x:c r="K277" s="61"/>
      <x:c r="L277" s="61"/>
      <x:c r="M277" s="61"/>
      <x:c r="N277" s="61"/>
      <x:c r="O277" s="61"/>
      <x:c r="P277" s="61"/>
      <x:c r="Q277" s="61"/>
    </x:row>
    <x:row r="278">
      <x:c r="A278" s="61"/>
      <x:c r="B278" s="61"/>
      <x:c r="C278" s="61"/>
      <x:c r="D278" s="61"/>
      <x:c r="E278" s="61"/>
      <x:c r="F278" s="61"/>
      <x:c r="G278" s="61"/>
      <x:c r="H278" s="61"/>
      <x:c r="I278" s="61"/>
      <x:c r="J278" s="61"/>
      <x:c r="K278" s="61"/>
      <x:c r="L278" s="61"/>
      <x:c r="M278" s="61"/>
      <x:c r="N278" s="61"/>
      <x:c r="O278" s="61"/>
      <x:c r="P278" s="61"/>
      <x:c r="Q278" s="61"/>
    </x:row>
    <x:row r="279">
      <x:c r="A279" s="61"/>
      <x:c r="B279" s="61"/>
      <x:c r="C279" s="61"/>
      <x:c r="D279" s="61"/>
      <x:c r="E279" s="61"/>
      <x:c r="F279" s="61"/>
      <x:c r="G279" s="61"/>
      <x:c r="H279" s="61"/>
      <x:c r="I279" s="61"/>
      <x:c r="J279" s="61"/>
      <x:c r="K279" s="61"/>
      <x:c r="L279" s="61"/>
      <x:c r="M279" s="61"/>
      <x:c r="N279" s="61"/>
      <x:c r="O279" s="61"/>
      <x:c r="P279" s="61"/>
      <x:c r="Q279" s="61"/>
    </x:row>
    <x:row r="280">
      <x:c r="A280" s="61"/>
      <x:c r="B280" s="61"/>
      <x:c r="C280" s="61"/>
      <x:c r="D280" s="61"/>
      <x:c r="E280" s="61"/>
      <x:c r="F280" s="61"/>
      <x:c r="G280" s="61"/>
      <x:c r="H280" s="61"/>
      <x:c r="I280" s="61"/>
      <x:c r="J280" s="61"/>
      <x:c r="K280" s="61"/>
      <x:c r="L280" s="61"/>
      <x:c r="M280" s="61"/>
      <x:c r="N280" s="61"/>
      <x:c r="O280" s="61"/>
      <x:c r="P280" s="61"/>
      <x:c r="Q280" s="61"/>
    </x:row>
    <x:row r="281">
      <x:c r="A281" s="61"/>
      <x:c r="B281" s="61"/>
      <x:c r="C281" s="61"/>
      <x:c r="D281" s="61"/>
      <x:c r="E281" s="61"/>
      <x:c r="F281" s="61"/>
      <x:c r="G281" s="61"/>
      <x:c r="H281" s="61"/>
      <x:c r="I281" s="61"/>
      <x:c r="J281" s="61"/>
      <x:c r="K281" s="61"/>
      <x:c r="L281" s="61"/>
      <x:c r="M281" s="61"/>
      <x:c r="N281" s="61"/>
      <x:c r="O281" s="61"/>
      <x:c r="P281" s="61"/>
      <x:c r="Q281" s="61"/>
    </x:row>
    <x:row r="282">
      <x:c r="A282" s="61"/>
      <x:c r="B282" s="61"/>
      <x:c r="C282" s="61"/>
      <x:c r="D282" s="61"/>
      <x:c r="E282" s="61"/>
      <x:c r="F282" s="61"/>
      <x:c r="G282" s="61"/>
      <x:c r="H282" s="61"/>
      <x:c r="I282" s="61"/>
      <x:c r="J282" s="61"/>
      <x:c r="K282" s="61"/>
      <x:c r="L282" s="61"/>
      <x:c r="M282" s="61"/>
      <x:c r="N282" s="61"/>
      <x:c r="O282" s="61"/>
      <x:c r="P282" s="61"/>
      <x:c r="Q282" s="61"/>
    </x:row>
    <x:row r="283">
      <x:c r="A283" s="61"/>
      <x:c r="B283" s="61"/>
      <x:c r="C283" s="61"/>
      <x:c r="D283" s="61"/>
      <x:c r="E283" s="61"/>
      <x:c r="F283" s="61"/>
      <x:c r="G283" s="61"/>
      <x:c r="H283" s="61"/>
      <x:c r="I283" s="61"/>
      <x:c r="J283" s="61"/>
      <x:c r="K283" s="61"/>
      <x:c r="L283" s="61"/>
      <x:c r="M283" s="61"/>
      <x:c r="N283" s="61"/>
      <x:c r="O283" s="61"/>
      <x:c r="P283" s="61"/>
      <x:c r="Q283" s="61"/>
    </x:row>
    <x:row r="284">
      <x:c r="A284" s="61"/>
      <x:c r="B284" s="61"/>
      <x:c r="C284" s="61"/>
      <x:c r="D284" s="61"/>
      <x:c r="E284" s="61"/>
      <x:c r="F284" s="61"/>
      <x:c r="G284" s="61"/>
      <x:c r="H284" s="61"/>
      <x:c r="I284" s="61"/>
      <x:c r="J284" s="61"/>
      <x:c r="K284" s="61"/>
      <x:c r="L284" s="61"/>
      <x:c r="M284" s="61"/>
      <x:c r="N284" s="61"/>
      <x:c r="O284" s="61"/>
      <x:c r="P284" s="61"/>
      <x:c r="Q284" s="61"/>
    </x:row>
    <x:row r="285">
      <x:c r="A285" s="61"/>
      <x:c r="B285" s="61"/>
      <x:c r="C285" s="61"/>
      <x:c r="D285" s="61"/>
      <x:c r="E285" s="61"/>
      <x:c r="F285" s="61"/>
      <x:c r="G285" s="61"/>
      <x:c r="H285" s="61"/>
      <x:c r="I285" s="61"/>
      <x:c r="J285" s="61"/>
      <x:c r="K285" s="61"/>
      <x:c r="L285" s="61"/>
      <x:c r="M285" s="61"/>
      <x:c r="N285" s="61"/>
      <x:c r="O285" s="61"/>
      <x:c r="P285" s="61"/>
      <x:c r="Q285" s="61"/>
    </x:row>
    <x:row r="286">
      <x:c r="A286" s="61"/>
      <x:c r="B286" s="61"/>
      <x:c r="C286" s="61"/>
      <x:c r="D286" s="61"/>
      <x:c r="E286" s="61"/>
      <x:c r="F286" s="61"/>
      <x:c r="G286" s="61"/>
      <x:c r="H286" s="61"/>
      <x:c r="I286" s="61"/>
      <x:c r="J286" s="61"/>
      <x:c r="K286" s="61"/>
      <x:c r="L286" s="61"/>
      <x:c r="M286" s="61"/>
      <x:c r="N286" s="61"/>
      <x:c r="O286" s="61"/>
      <x:c r="P286" s="61"/>
      <x:c r="Q286" s="61"/>
    </x:row>
    <x:row r="287">
      <x:c r="A287" s="61"/>
      <x:c r="B287" s="61"/>
      <x:c r="C287" s="61"/>
      <x:c r="D287" s="61"/>
      <x:c r="E287" s="61"/>
      <x:c r="F287" s="61"/>
      <x:c r="G287" s="61"/>
      <x:c r="H287" s="61"/>
      <x:c r="I287" s="61"/>
      <x:c r="J287" s="61"/>
      <x:c r="K287" s="61"/>
      <x:c r="L287" s="61"/>
      <x:c r="M287" s="61"/>
      <x:c r="N287" s="61"/>
      <x:c r="O287" s="61"/>
      <x:c r="P287" s="61"/>
      <x:c r="Q287" s="61"/>
    </x:row>
    <x:row r="288">
      <x:c r="A288" s="61"/>
      <x:c r="B288" s="61"/>
      <x:c r="C288" s="61"/>
      <x:c r="D288" s="61"/>
      <x:c r="E288" s="61"/>
      <x:c r="F288" s="61"/>
      <x:c r="G288" s="61"/>
      <x:c r="H288" s="61"/>
      <x:c r="I288" s="61"/>
      <x:c r="J288" s="61"/>
      <x:c r="K288" s="61"/>
      <x:c r="L288" s="61"/>
      <x:c r="M288" s="61"/>
      <x:c r="N288" s="61"/>
      <x:c r="O288" s="61"/>
      <x:c r="P288" s="61"/>
      <x:c r="Q288" s="61"/>
    </x:row>
    <x:row r="289">
      <x:c r="A289" s="61"/>
      <x:c r="B289" s="61"/>
      <x:c r="C289" s="61"/>
      <x:c r="D289" s="61"/>
      <x:c r="E289" s="61"/>
      <x:c r="F289" s="61"/>
      <x:c r="G289" s="61"/>
      <x:c r="H289" s="61"/>
      <x:c r="I289" s="61"/>
      <x:c r="J289" s="61"/>
      <x:c r="K289" s="61"/>
      <x:c r="L289" s="61"/>
      <x:c r="M289" s="61"/>
      <x:c r="N289" s="61"/>
      <x:c r="O289" s="61"/>
      <x:c r="P289" s="61"/>
      <x:c r="Q289" s="61"/>
    </x:row>
    <x:row r="290">
      <x:c r="A290" s="61"/>
      <x:c r="B290" s="61"/>
      <x:c r="C290" s="61"/>
      <x:c r="D290" s="61"/>
      <x:c r="E290" s="61"/>
      <x:c r="F290" s="61"/>
      <x:c r="G290" s="61"/>
      <x:c r="H290" s="61"/>
      <x:c r="I290" s="61"/>
      <x:c r="J290" s="61"/>
      <x:c r="K290" s="61"/>
      <x:c r="L290" s="61"/>
      <x:c r="M290" s="61"/>
      <x:c r="N290" s="61"/>
      <x:c r="O290" s="61"/>
      <x:c r="P290" s="61"/>
      <x:c r="Q290" s="61"/>
    </x:row>
    <x:row r="291">
      <x:c r="A291" s="61"/>
      <x:c r="B291" s="61"/>
      <x:c r="C291" s="61"/>
      <x:c r="D291" s="61"/>
      <x:c r="E291" s="61"/>
      <x:c r="F291" s="61"/>
      <x:c r="G291" s="61"/>
      <x:c r="H291" s="61"/>
      <x:c r="I291" s="61"/>
      <x:c r="J291" s="61"/>
      <x:c r="K291" s="61"/>
      <x:c r="L291" s="61"/>
      <x:c r="M291" s="61"/>
      <x:c r="N291" s="61"/>
      <x:c r="O291" s="61"/>
      <x:c r="P291" s="61"/>
      <x:c r="Q291" s="61"/>
    </x:row>
    <x:row r="292">
      <x:c r="A292" s="61"/>
      <x:c r="B292" s="61"/>
      <x:c r="C292" s="61"/>
      <x:c r="D292" s="61"/>
      <x:c r="E292" s="61"/>
      <x:c r="F292" s="61"/>
      <x:c r="G292" s="61"/>
      <x:c r="H292" s="61"/>
      <x:c r="I292" s="61"/>
      <x:c r="J292" s="61"/>
      <x:c r="K292" s="61"/>
      <x:c r="L292" s="61"/>
      <x:c r="M292" s="61"/>
      <x:c r="N292" s="61"/>
      <x:c r="O292" s="61"/>
      <x:c r="P292" s="61"/>
      <x:c r="Q292" s="61"/>
    </x:row>
    <x:row r="293">
      <x:c r="A293" s="61"/>
      <x:c r="B293" s="61"/>
      <x:c r="C293" s="61"/>
      <x:c r="D293" s="61"/>
      <x:c r="E293" s="61"/>
      <x:c r="F293" s="61"/>
      <x:c r="G293" s="61"/>
      <x:c r="H293" s="61"/>
      <x:c r="I293" s="61"/>
      <x:c r="J293" s="61"/>
      <x:c r="K293" s="61"/>
      <x:c r="L293" s="61"/>
      <x:c r="M293" s="61"/>
      <x:c r="N293" s="61"/>
      <x:c r="O293" s="61"/>
      <x:c r="P293" s="61"/>
      <x:c r="Q293" s="61"/>
    </x:row>
    <x:row r="294">
      <x:c r="A294" s="61"/>
      <x:c r="B294" s="61"/>
      <x:c r="C294" s="61"/>
      <x:c r="D294" s="61"/>
      <x:c r="E294" s="61"/>
      <x:c r="F294" s="61"/>
      <x:c r="G294" s="61"/>
      <x:c r="H294" s="61"/>
      <x:c r="I294" s="61"/>
      <x:c r="J294" s="61"/>
      <x:c r="K294" s="61"/>
      <x:c r="L294" s="61"/>
      <x:c r="M294" s="61"/>
      <x:c r="N294" s="61"/>
      <x:c r="O294" s="61"/>
      <x:c r="P294" s="61"/>
      <x:c r="Q294" s="61"/>
    </x:row>
    <x:row r="295">
      <x:c r="A295" s="61"/>
      <x:c r="B295" s="61"/>
      <x:c r="C295" s="61"/>
      <x:c r="D295" s="61"/>
      <x:c r="E295" s="61"/>
      <x:c r="F295" s="61"/>
      <x:c r="G295" s="61"/>
      <x:c r="H295" s="61"/>
      <x:c r="I295" s="61"/>
      <x:c r="J295" s="61"/>
      <x:c r="K295" s="61"/>
      <x:c r="L295" s="61"/>
      <x:c r="M295" s="61"/>
      <x:c r="N295" s="61"/>
      <x:c r="O295" s="61"/>
      <x:c r="P295" s="61"/>
      <x:c r="Q295" s="61"/>
    </x:row>
    <x:row r="296">
      <x:c r="A296" s="61"/>
      <x:c r="B296" s="61"/>
      <x:c r="C296" s="61"/>
      <x:c r="D296" s="61"/>
      <x:c r="E296" s="61"/>
      <x:c r="F296" s="61"/>
      <x:c r="G296" s="61"/>
      <x:c r="H296" s="61"/>
      <x:c r="I296" s="61"/>
      <x:c r="J296" s="61"/>
      <x:c r="K296" s="61"/>
      <x:c r="L296" s="61"/>
      <x:c r="M296" s="61"/>
      <x:c r="N296" s="61"/>
      <x:c r="O296" s="61"/>
      <x:c r="P296" s="61"/>
      <x:c r="Q296" s="61"/>
    </x:row>
    <x:row r="297">
      <x:c r="A297" s="61"/>
      <x:c r="B297" s="61"/>
      <x:c r="C297" s="61"/>
      <x:c r="D297" s="61"/>
      <x:c r="E297" s="61"/>
      <x:c r="F297" s="61"/>
      <x:c r="G297" s="61"/>
      <x:c r="H297" s="61"/>
      <x:c r="I297" s="61"/>
      <x:c r="J297" s="61"/>
      <x:c r="K297" s="61"/>
      <x:c r="L297" s="61"/>
      <x:c r="M297" s="61"/>
      <x:c r="N297" s="61"/>
      <x:c r="O297" s="61"/>
      <x:c r="P297" s="61"/>
      <x:c r="Q297" s="61"/>
    </x:row>
    <x:row r="298">
      <x:c r="A298" s="61"/>
      <x:c r="B298" s="61"/>
      <x:c r="C298" s="61"/>
      <x:c r="D298" s="61"/>
      <x:c r="E298" s="61"/>
      <x:c r="F298" s="61"/>
      <x:c r="G298" s="61"/>
      <x:c r="H298" s="61"/>
      <x:c r="I298" s="61"/>
      <x:c r="J298" s="61"/>
      <x:c r="K298" s="61"/>
      <x:c r="L298" s="61"/>
      <x:c r="M298" s="61"/>
      <x:c r="N298" s="61"/>
      <x:c r="O298" s="61"/>
      <x:c r="P298" s="61"/>
      <x:c r="Q298" s="61"/>
    </x:row>
    <x:row r="299">
      <x:c r="A299" s="61"/>
      <x:c r="B299" s="61"/>
      <x:c r="C299" s="61"/>
      <x:c r="D299" s="61"/>
      <x:c r="E299" s="61"/>
      <x:c r="F299" s="61"/>
      <x:c r="G299" s="61"/>
      <x:c r="H299" s="61"/>
      <x:c r="I299" s="61"/>
      <x:c r="J299" s="61"/>
      <x:c r="K299" s="61"/>
      <x:c r="L299" s="61"/>
      <x:c r="M299" s="61"/>
      <x:c r="N299" s="61"/>
      <x:c r="O299" s="61"/>
      <x:c r="P299" s="61"/>
      <x:c r="Q299" s="61"/>
    </x:row>
    <x:row r="300">
      <x:c r="A300" s="61"/>
      <x:c r="B300" s="61"/>
      <x:c r="C300" s="61"/>
      <x:c r="D300" s="61"/>
      <x:c r="E300" s="61"/>
      <x:c r="F300" s="61"/>
      <x:c r="G300" s="61"/>
      <x:c r="H300" s="61"/>
      <x:c r="I300" s="61"/>
      <x:c r="J300" s="61"/>
      <x:c r="K300" s="61"/>
      <x:c r="L300" s="61"/>
      <x:c r="M300" s="61"/>
      <x:c r="N300" s="61"/>
      <x:c r="O300" s="61"/>
      <x:c r="P300" s="61"/>
      <x:c r="Q300" s="61"/>
    </x:row>
  </x:sheetData>
  <x:conditionalFormatting sqref="H2:H130">
    <x:cfRule type="expression" dxfId="0" priority="1">
      <x:formula>H2="Concluído"</x:formula>
    </x:cfRule>
    <x:cfRule type="expression" dxfId="1" priority="2">
      <x:formula>H2="Em andamento"</x:formula>
    </x:cfRule>
    <x:cfRule type="expression" dxfId="2" priority="3">
      <x:formula>H2="Bloqueado"</x:formula>
    </x:cfRule>
    <x:cfRule type="expression" dxfId="3" priority="4">
      <x:formula>H2="Em validação"</x:formula>
    </x:cfRule>
  </x:conditionalFormatting>
  <x:conditionalFormatting sqref="G2:G130">
    <x:cfRule type="expression" dxfId="4" priority="5">
      <x:formula>G2="P0"</x:formula>
    </x:cfRule>
    <x:cfRule type="expression" dxfId="5" priority="6">
      <x:formula>G2="P1"</x:formula>
    </x:cfRule>
  </x:conditionalFormatting>
  <x:conditionalFormatting sqref="N2:N130">
    <x:cfRule type="expression" dxfId="6" priority="7">
      <x:formula>N2="Sim"</x:formula>
    </x:cfRule>
  </x:conditionalFormatting>
  <x:dataValidations count="4">
    <x:dataValidation type="list" sqref="G2:G130">
      <x:formula1>"P0,P1,P2"</x:formula1>
    </x:dataValidation>
    <x:dataValidation type="list" sqref="H2:H130">
      <x:formula1>"Não iniciado,Em andamento,Em validação,Bloqueado,Concluído,Pós-lançamento"</x:formula1>
    </x:dataValidation>
    <x:dataValidation type="list" sqref="M2:M130">
      <x:formula1>"Não,Sim"</x:formula1>
    </x:dataValidation>
    <x:dataValidation type="list" sqref="N2:N130">
      <x:formula1>"Não,Sim"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6d60b006a6496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4" hidden="0" customWidth="1"/>
    <x:col min="4" max="4" width="28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90" t="str">
        <x:v>UltraPDV — Painel de Lançamento</x:v>
      </x:c>
      <x:c r="B1" s="90"/>
      <x:c r="C1" s="90"/>
      <x:c r="D1" s="90"/>
      <x:c r="E1" s="90"/>
      <x:c r="F1" s="90"/>
      <x:c r="G1" s="90"/>
      <x:c r="H1" s="90"/>
      <x:c r="I1" s="61"/>
      <x:c r="J1" s="61"/>
      <x:c r="K1" s="61"/>
      <x:c r="L1" s="61"/>
      <x:c r="M1" s="61"/>
      <x:c r="N1" s="61"/>
      <x:c r="O1" s="61"/>
      <x:c r="P1" s="61"/>
      <x:c r="Q1" s="61"/>
    </x:row>
    <x:row r="2">
      <x:c r="A2" s="90"/>
      <x:c r="B2" s="90"/>
      <x:c r="C2" s="90"/>
      <x:c r="D2" s="90"/>
      <x:c r="E2" s="90"/>
      <x:c r="F2" s="90"/>
      <x:c r="G2" s="90"/>
      <x:c r="H2" s="90"/>
      <x:c r="I2" s="61"/>
      <x:c r="J2" s="61"/>
      <x:c r="K2" s="61"/>
      <x:c r="L2" s="61"/>
      <x:c r="M2" s="61"/>
      <x:c r="N2" s="61"/>
      <x:c r="O2" s="61"/>
      <x:c r="P2" s="61"/>
      <x:c r="Q2" s="61"/>
    </x:row>
    <x:row r="3">
      <x:c r="A3" s="92" t="str">
        <x:v>Meta de lançamento: 25/09/2026</x:v>
      </x:c>
      <x:c r="B3" s="92"/>
      <x:c r="C3" s="92"/>
      <x:c r="D3" s="92"/>
      <x:c r="E3" s="92"/>
      <x:c r="F3" s="92"/>
      <x:c r="G3" s="92"/>
      <x:c r="H3" s="92"/>
      <x:c r="I3" s="61"/>
      <x:c r="J3" s="61"/>
      <x:c r="K3" s="61"/>
      <x:c r="L3" s="61"/>
      <x:c r="M3" s="61"/>
      <x:c r="N3" s="61"/>
      <x:c r="O3" s="61"/>
      <x:c r="P3" s="61"/>
      <x:c r="Q3" s="61"/>
    </x:row>
    <x:row r="4">
      <x:c r="A4" s="61"/>
      <x:c r="B4" s="61"/>
      <x:c r="C4" s="61"/>
      <x:c r="D4" s="61"/>
      <x:c r="E4" s="61"/>
      <x:c r="F4" s="61"/>
      <x:c r="G4" s="61"/>
      <x:c r="H4" s="61"/>
      <x:c r="I4" s="61"/>
      <x:c r="J4" s="61"/>
      <x:c r="K4" s="61"/>
      <x:c r="L4" s="61"/>
      <x:c r="M4" s="61"/>
      <x:c r="N4" s="61"/>
      <x:c r="O4" s="61"/>
      <x:c r="P4" s="61"/>
      <x:c r="Q4" s="61"/>
    </x:row>
    <x:row r="5">
      <x:c r="A5" s="60" t="str">
        <x:v>Indicador</x:v>
      </x:c>
      <x:c r="B5" s="60" t="str">
        <x:v>Valor</x:v>
      </x:c>
      <x:c r="C5" s="61"/>
      <x:c r="D5" s="60" t="str">
        <x:v>Regras de foco até o lançamento</x:v>
      </x:c>
      <x:c r="E5" s="60"/>
      <x:c r="F5" s="60"/>
      <x:c r="G5" s="60"/>
      <x:c r="H5" s="60"/>
      <x:c r="I5" s="61"/>
      <x:c r="J5" s="61"/>
      <x:c r="K5" s="61"/>
      <x:c r="L5" s="61"/>
      <x:c r="M5" s="61"/>
      <x:c r="N5" s="61"/>
      <x:c r="O5" s="61"/>
      <x:c r="P5" s="61"/>
      <x:c r="Q5" s="61"/>
    </x:row>
    <x:row r="6">
      <x:c r="A6" s="63" t="str">
        <x:v>Total de itens</x:v>
      </x:c>
      <x:c r="B6" s="61" t="n">
        <x:f>COUNTA('Plano Mestre'!A2:A130)</x:f>
        <x:v>129</x:v>
      </x:c>
      <x:c r="C6" s="61"/>
      <x:c r="D6" s="64" t="str">
        <x:v>P0: para tudo e resolve antes de seguir.</x:v>
      </x:c>
      <x:c r="E6" s="64"/>
      <x:c r="F6" s="64"/>
      <x:c r="G6" s="64"/>
      <x:c r="H6" s="64"/>
      <x:c r="I6" s="61"/>
      <x:c r="J6" s="61"/>
      <x:c r="K6" s="61"/>
      <x:c r="L6" s="61"/>
      <x:c r="M6" s="61"/>
      <x:c r="N6" s="61"/>
      <x:c r="O6" s="61"/>
      <x:c r="P6" s="61"/>
      <x:c r="Q6" s="61"/>
    </x:row>
    <x:row r="7">
      <x:c r="A7" s="63" t="str">
        <x:v>Concluídos</x:v>
      </x:c>
      <x:c r="B7" s="61" t="n">
        <x:f>COUNTIF('Plano Mestre'!H2:H130,"Concluído")</x:f>
        <x:v>5</x:v>
      </x:c>
      <x:c r="C7" s="61"/>
      <x:c r="D7" s="64" t="str">
        <x:v>P1: precisa estar pronto antes do lançamento.</x:v>
      </x:c>
      <x:c r="E7" s="64"/>
      <x:c r="F7" s="64"/>
      <x:c r="G7" s="64"/>
      <x:c r="H7" s="64"/>
      <x:c r="I7" s="61"/>
      <x:c r="J7" s="61"/>
      <x:c r="K7" s="61"/>
      <x:c r="L7" s="61"/>
      <x:c r="M7" s="61"/>
      <x:c r="N7" s="61"/>
      <x:c r="O7" s="61"/>
      <x:c r="P7" s="61"/>
      <x:c r="Q7" s="61"/>
    </x:row>
    <x:row r="8">
      <x:c r="A8" s="63" t="str">
        <x:v>Em andamento</x:v>
      </x:c>
      <x:c r="B8" s="61" t="n">
        <x:f>COUNTIF('Plano Mestre'!H2:H130,"Em andamento")</x:f>
        <x:v>4</x:v>
      </x:c>
      <x:c r="C8" s="61"/>
      <x:c r="D8" s="64" t="str">
        <x:v>P2: entra somente se não ameaçar o cronograma.</x:v>
      </x:c>
      <x:c r="E8" s="64"/>
      <x:c r="F8" s="64"/>
      <x:c r="G8" s="64"/>
      <x:c r="H8" s="64"/>
      <x:c r="I8" s="61"/>
      <x:c r="J8" s="61"/>
      <x:c r="K8" s="61"/>
      <x:c r="L8" s="61"/>
      <x:c r="M8" s="61"/>
      <x:c r="N8" s="61"/>
      <x:c r="O8" s="61"/>
      <x:c r="P8" s="61"/>
      <x:c r="Q8" s="61"/>
    </x:row>
    <x:row r="9">
      <x:c r="A9" s="63" t="str">
        <x:v>Bloqueados</x:v>
      </x:c>
      <x:c r="B9" s="61" t="n">
        <x:f>COUNTIF('Plano Mestre'!H2:H130,"Bloqueado")</x:f>
        <x:v>0</x:v>
      </x:c>
      <x:c r="C9" s="61"/>
      <x:c r="D9" s="64" t="str">
        <x:v>A partir de 20/09: freeze de funcionalidades.</x:v>
      </x:c>
      <x:c r="E9" s="64"/>
      <x:c r="F9" s="64"/>
      <x:c r="G9" s="64"/>
      <x:c r="H9" s="64"/>
      <x:c r="I9" s="61"/>
      <x:c r="J9" s="61"/>
      <x:c r="K9" s="61"/>
      <x:c r="L9" s="61"/>
      <x:c r="M9" s="61"/>
      <x:c r="N9" s="61"/>
      <x:c r="O9" s="61"/>
      <x:c r="P9" s="61"/>
      <x:c r="Q9" s="61"/>
    </x:row>
    <x:row r="10">
      <x:c r="A10" s="63" t="str">
        <x:v>P0 abertos</x:v>
      </x:c>
      <x:c r="B10" s="61" t="n">
        <x:f>COUNTIFS('Plano Mestre'!G2:G130,"P0",'Plano Mestre'!H2:H130,"&lt;&gt;Concluído")</x:f>
        <x:v>81</x:v>
      </x:c>
      <x:c r="C10" s="61"/>
      <x:c r="D10" s="64" t="str">
        <x:v>24/09: GO somente com zero P0 aberto.</x:v>
      </x:c>
      <x:c r="E10" s="64"/>
      <x:c r="F10" s="64"/>
      <x:c r="G10" s="64"/>
      <x:c r="H10" s="64"/>
      <x:c r="I10" s="61"/>
      <x:c r="J10" s="61"/>
      <x:c r="K10" s="61"/>
      <x:c r="L10" s="61"/>
      <x:c r="M10" s="61"/>
      <x:c r="N10" s="61"/>
      <x:c r="O10" s="61"/>
      <x:c r="P10" s="61"/>
      <x:c r="Q10" s="61"/>
    </x:row>
    <x:row r="11">
      <x:c r="A11" s="63" t="str">
        <x:v>Obrigatórios abertos</x:v>
      </x:c>
      <x:c r="B11" s="61" t="n">
        <x:f>COUNTIFS('Plano Mestre'!M2:M130,"Sim",'Plano Mestre'!H2:H130,"&lt;&gt;Concluído")</x:f>
        <x:v>124</x:v>
      </x:c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  <x:c r="M11" s="61"/>
      <x:c r="N11" s="61"/>
      <x:c r="O11" s="61"/>
      <x:c r="P11" s="61"/>
      <x:c r="Q11" s="61"/>
    </x:row>
    <x:row r="12">
      <x:c r="A12" s="63" t="str">
        <x:v>% concluído</x:v>
      </x:c>
      <x:c r="B12" s="65" t="n">
        <x:f>IFERROR(COUNTIF('Plano Mestre'!H2:H130,"Concluído")/COUNTA('Plano Mestre'!A2:A130),0)</x:f>
        <x:v>0.03875968992248062</x:v>
      </x:c>
      <x:c r="C12" s="61"/>
      <x:c r="D12" s="61"/>
      <x:c r="E12" s="61"/>
      <x:c r="F12" s="61"/>
      <x:c r="G12" s="61"/>
      <x:c r="H12" s="61"/>
      <x:c r="I12" s="61"/>
      <x:c r="J12" s="61"/>
      <x:c r="K12" s="61"/>
      <x:c r="L12" s="61"/>
      <x:c r="M12" s="61"/>
      <x:c r="N12" s="61"/>
      <x:c r="O12" s="61"/>
      <x:c r="P12" s="61"/>
      <x:c r="Q12" s="61"/>
    </x:row>
    <x:row r="13">
      <x:c r="A13" s="63" t="str">
        <x:v>Dias até lançamento</x:v>
      </x:c>
      <x:c r="B13" s="61" t="n">
        <x:f>MAX(0,DATE(2026,9,25)-TODAY())</x:f>
        <x:v>32</x:v>
      </x:c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1"/>
      <x:c r="N13" s="61"/>
      <x:c r="O13" s="61"/>
      <x:c r="P13" s="61"/>
      <x:c r="Q13" s="61"/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1"/>
      <x:c r="N14" s="61"/>
      <x:c r="O14" s="61"/>
      <x:c r="P14" s="61"/>
      <x:c r="Q14" s="61"/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1"/>
      <x:c r="N15" s="61"/>
      <x:c r="O15" s="61"/>
      <x:c r="P15" s="61"/>
      <x:c r="Q15" s="61"/>
    </x:row>
    <x:row r="16">
      <x:c r="A16" s="60" t="str">
        <x:v>Status</x:v>
      </x:c>
      <x:c r="B16" s="60" t="str">
        <x:v>Quantidade</x:v>
      </x:c>
      <x:c r="C16" s="61"/>
      <x:c r="D16" s="60" t="str">
        <x:v>Fase</x:v>
      </x:c>
      <x:c r="E16" s="60" t="str">
        <x:v>Total</x:v>
      </x:c>
      <x:c r="F16" s="60" t="str">
        <x:v>Concluídos</x:v>
      </x:c>
      <x:c r="G16" s="61"/>
      <x:c r="H16" s="61"/>
      <x:c r="I16" s="61"/>
      <x:c r="J16" s="61"/>
      <x:c r="K16" s="61"/>
      <x:c r="L16" s="61"/>
      <x:c r="M16" s="61"/>
      <x:c r="N16" s="61"/>
      <x:c r="O16" s="61"/>
      <x:c r="P16" s="61"/>
      <x:c r="Q16" s="61"/>
    </x:row>
    <x:row r="17">
      <x:c r="A17" s="61" t="str">
        <x:v>Não iniciado</x:v>
      </x:c>
      <x:c r="B17" s="61" t="n">
        <x:f>COUNTIF('Plano Mestre'!H2:H130,A17)</x:f>
        <x:v>112</x:v>
      </x:c>
      <x:c r="C17" s="61"/>
      <x:c r="D17" s="61" t="str">
        <x:v>0. Organização</x:v>
      </x:c>
      <x:c r="E17" s="61" t="n">
        <x:f>COUNTIF('Plano Mestre'!B2:B130,D17)</x:f>
        <x:v>6</x:v>
      </x:c>
      <x:c r="F17" s="61" t="n">
        <x:f>COUNTIFS('Plano Mestre'!B2:B130,D17,'Plano Mestre'!H2:H130,"Concluído")</x:f>
        <x:v>0</x:v>
      </x:c>
      <x:c r="G17" s="61"/>
      <x:c r="H17" s="61"/>
      <x:c r="I17" s="61"/>
      <x:c r="J17" s="61"/>
      <x:c r="K17" s="61"/>
      <x:c r="L17" s="61"/>
      <x:c r="M17" s="61"/>
      <x:c r="N17" s="61"/>
      <x:c r="O17" s="61"/>
      <x:c r="P17" s="61"/>
      <x:c r="Q17" s="61"/>
    </x:row>
    <x:row r="18">
      <x:c r="A18" s="61" t="str">
        <x:v>Em andamento</x:v>
      </x:c>
      <x:c r="B18" s="61" t="n">
        <x:f>COUNTIF('Plano Mestre'!H2:H130,A18)</x:f>
        <x:v>4</x:v>
      </x:c>
      <x:c r="C18" s="61"/>
      <x:c r="D18" s="61" t="str">
        <x:v>1. Estabilização</x:v>
      </x:c>
      <x:c r="E18" s="61" t="n">
        <x:f>COUNTIF('Plano Mestre'!B2:B130,D18)</x:f>
        <x:v>18</x:v>
      </x:c>
      <x:c r="F18" s="61" t="n">
        <x:f>COUNTIFS('Plano Mestre'!B2:B130,D18,'Plano Mestre'!H2:H130,"Concluído")</x:f>
        <x:v>5</x:v>
      </x:c>
      <x:c r="G18" s="61"/>
      <x:c r="H18" s="61"/>
      <x:c r="I18" s="61"/>
      <x:c r="J18" s="61"/>
      <x:c r="K18" s="61"/>
      <x:c r="L18" s="61"/>
      <x:c r="M18" s="61"/>
      <x:c r="N18" s="61"/>
      <x:c r="O18" s="61"/>
      <x:c r="P18" s="61"/>
      <x:c r="Q18" s="61"/>
    </x:row>
    <x:row r="19">
      <x:c r="A19" s="61" t="str">
        <x:v>Em validação</x:v>
      </x:c>
      <x:c r="B19" s="61" t="n">
        <x:f>COUNTIF('Plano Mestre'!H2:H130,A19)</x:f>
        <x:v>8</x:v>
      </x:c>
      <x:c r="C19" s="61"/>
      <x:c r="D19" s="61" t="str">
        <x:v>2. Comercial</x:v>
      </x:c>
      <x:c r="E19" s="61" t="n">
        <x:f>COUNTIF('Plano Mestre'!B2:B130,D19)</x:f>
        <x:v>28</x:v>
      </x:c>
      <x:c r="F19" s="61" t="n">
        <x:f>COUNTIFS('Plano Mestre'!B2:B130,D19,'Plano Mestre'!H2:H130,"Concluído")</x:f>
        <x:v>0</x:v>
      </x:c>
      <x:c r="G19" s="61"/>
      <x:c r="H19" s="61"/>
      <x:c r="I19" s="61"/>
      <x:c r="J19" s="61"/>
      <x:c r="K19" s="61"/>
      <x:c r="L19" s="61"/>
      <x:c r="M19" s="61"/>
      <x:c r="N19" s="61"/>
      <x:c r="O19" s="61"/>
      <x:c r="P19" s="61"/>
      <x:c r="Q19" s="61"/>
    </x:row>
    <x:row r="20">
      <x:c r="A20" s="61" t="str">
        <x:v>Bloqueado</x:v>
      </x:c>
      <x:c r="B20" s="61" t="n">
        <x:f>COUNTIF('Plano Mestre'!H2:H130,A20)</x:f>
        <x:v>0</x:v>
      </x:c>
      <x:c r="C20" s="61"/>
      <x:c r="D20" s="61" t="str">
        <x:v>3. Fiscal e integrações</x:v>
      </x:c>
      <x:c r="E20" s="61" t="n">
        <x:f>COUNTIF('Plano Mestre'!B2:B130,D20)</x:f>
        <x:v>20</x:v>
      </x:c>
      <x:c r="F20" s="61" t="n">
        <x:f>COUNTIFS('Plano Mestre'!B2:B130,D20,'Plano Mestre'!H2:H130,"Concluído")</x:f>
        <x:v>0</x:v>
      </x:c>
      <x:c r="G20" s="61"/>
      <x:c r="H20" s="61"/>
      <x:c r="I20" s="61"/>
      <x:c r="J20" s="61"/>
      <x:c r="K20" s="61"/>
      <x:c r="L20" s="61"/>
      <x:c r="M20" s="61"/>
      <x:c r="N20" s="61"/>
      <x:c r="O20" s="61"/>
      <x:c r="P20" s="61"/>
      <x:c r="Q20" s="61"/>
    </x:row>
    <x:row r="21">
      <x:c r="A21" s="61" t="str">
        <x:v>Concluído</x:v>
      </x:c>
      <x:c r="B21" s="61" t="n">
        <x:f>COUNTIF('Plano Mestre'!H2:H130,A21)</x:f>
        <x:v>5</x:v>
      </x:c>
      <x:c r="C21" s="61"/>
      <x:c r="D21" s="61" t="str">
        <x:v>4. Testes reais</x:v>
      </x:c>
      <x:c r="E21" s="61" t="n">
        <x:f>COUNTIF('Plano Mestre'!B2:B130,D21)</x:f>
        <x:v>35</x:v>
      </x:c>
      <x:c r="F21" s="61" t="n">
        <x:f>COUNTIFS('Plano Mestre'!B2:B130,D21,'Plano Mestre'!H2:H130,"Concluído")</x:f>
        <x:v>0</x:v>
      </x:c>
      <x:c r="G21" s="61"/>
      <x:c r="H21" s="61"/>
      <x:c r="I21" s="61"/>
      <x:c r="J21" s="61"/>
      <x:c r="K21" s="61"/>
      <x:c r="L21" s="61"/>
      <x:c r="M21" s="61"/>
      <x:c r="N21" s="61"/>
      <x:c r="O21" s="61"/>
      <x:c r="P21" s="61"/>
      <x:c r="Q21" s="61"/>
    </x:row>
    <x:row r="22">
      <x:c r="A22" s="61"/>
      <x:c r="B22" s="61"/>
      <x:c r="C22" s="61"/>
      <x:c r="D22" s="61" t="str">
        <x:v>5. Produção e freeze</x:v>
      </x:c>
      <x:c r="E22" s="61" t="n">
        <x:f>COUNTIF('Plano Mestre'!B2:B130,D22)</x:f>
        <x:v>18</x:v>
      </x:c>
      <x:c r="F22" s="61" t="n">
        <x:f>COUNTIFS('Plano Mestre'!B2:B130,D22,'Plano Mestre'!H2:H130,"Concluído")</x:f>
        <x:v>0</x:v>
      </x:c>
      <x:c r="G22" s="61"/>
      <x:c r="H22" s="61"/>
      <x:c r="I22" s="61"/>
      <x:c r="J22" s="61"/>
      <x:c r="K22" s="61"/>
      <x:c r="L22" s="61"/>
      <x:c r="M22" s="61"/>
      <x:c r="N22" s="61"/>
      <x:c r="O22" s="61"/>
      <x:c r="P22" s="61"/>
      <x:c r="Q22" s="61"/>
    </x:row>
    <x:row r="23">
      <x:c r="A23" s="61"/>
      <x:c r="B23" s="61"/>
      <x:c r="C23" s="61"/>
      <x:c r="D23" s="61" t="str">
        <x:v>6. Lançamento</x:v>
      </x:c>
      <x:c r="E23" s="61" t="n">
        <x:f>COUNTIF('Plano Mestre'!B2:B130,D23)</x:f>
        <x:v>4</x:v>
      </x:c>
      <x:c r="F23" s="61" t="n">
        <x:f>COUNTIFS('Plano Mestre'!B2:B130,D23,'Plano Mestre'!H2:H130,"Concluído")</x:f>
        <x:v>0</x:v>
      </x:c>
      <x:c r="G23" s="61"/>
      <x:c r="H23" s="61"/>
      <x:c r="I23" s="61"/>
      <x:c r="J23" s="61"/>
      <x:c r="K23" s="61"/>
      <x:c r="L23" s="61"/>
      <x:c r="M23" s="61"/>
      <x:c r="N23" s="61"/>
      <x:c r="O23" s="61"/>
      <x:c r="P23" s="61"/>
      <x:c r="Q23" s="61"/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  <x:c r="P24" s="61"/>
      <x:c r="Q24" s="61"/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1"/>
      <x:c r="P25" s="61"/>
      <x:c r="Q25" s="61"/>
    </x:row>
    <x:row r="26">
      <x:c r="A26" s="66" t="str">
        <x:v>FOCO IMEDIATO</x:v>
      </x:c>
      <x:c r="B26" s="66"/>
      <x:c r="C26" s="66"/>
      <x:c r="D26" s="66"/>
      <x:c r="E26" s="66"/>
      <x:c r="F26" s="66"/>
      <x:c r="G26" s="66"/>
      <x:c r="H26" s="66"/>
      <x:c r="I26" s="61"/>
      <x:c r="J26" s="61"/>
      <x:c r="K26" s="61"/>
      <x:c r="L26" s="61"/>
      <x:c r="M26" s="61"/>
      <x:c r="N26" s="61"/>
      <x:c r="O26" s="61"/>
      <x:c r="P26" s="61"/>
      <x:c r="Q26" s="61"/>
    </x:row>
    <x:row r="27">
      <x:c r="A27" s="67" t="str">
        <x:v>1) Paridade Carteira Web x Mobile (Em aberto / saldo / baixas / estornos)</x:v>
      </x:c>
      <x:c r="B27" s="67"/>
      <x:c r="C27" s="67"/>
      <x:c r="D27" s="67"/>
      <x:c r="E27" s="67"/>
      <x:c r="F27" s="67"/>
      <x:c r="G27" s="67"/>
      <x:c r="H27" s="67"/>
      <x:c r="I27" s="61"/>
      <x:c r="J27" s="61"/>
      <x:c r="K27" s="61"/>
      <x:c r="L27" s="61"/>
      <x:c r="M27" s="61"/>
      <x:c r="N27" s="61"/>
      <x:c r="O27" s="61"/>
      <x:c r="P27" s="61"/>
      <x:c r="Q27" s="61"/>
    </x:row>
    <x:row r="28">
      <x:c r="A28" s="67" t="str">
        <x:v>2) Edição dos valores em pagamentos combinados no Mobile</x:v>
      </x:c>
      <x:c r="B28" s="67"/>
      <x:c r="C28" s="67"/>
      <x:c r="D28" s="67"/>
      <x:c r="E28" s="67"/>
      <x:c r="F28" s="67"/>
      <x:c r="G28" s="67"/>
      <x:c r="H28" s="67"/>
      <x:c r="I28" s="61"/>
      <x:c r="J28" s="61"/>
      <x:c r="K28" s="61"/>
      <x:c r="L28" s="61"/>
      <x:c r="M28" s="61"/>
      <x:c r="N28" s="61"/>
      <x:c r="O28" s="61"/>
      <x:c r="P28" s="61"/>
      <x:c r="Q28" s="61"/>
    </x:row>
    <x:row r="29">
      <x:c r="A29" s="67" t="str">
        <x:v>3) Fechar regressão comercial antes de abrir nova funcionalidade</x:v>
      </x:c>
      <x:c r="B29" s="67"/>
      <x:c r="C29" s="67"/>
      <x:c r="D29" s="67"/>
      <x:c r="E29" s="67"/>
      <x:c r="F29" s="67"/>
      <x:c r="G29" s="67"/>
      <x:c r="H29" s="67"/>
      <x:c r="I29" s="61"/>
      <x:c r="J29" s="61"/>
      <x:c r="K29" s="61"/>
      <x:c r="L29" s="61"/>
      <x:c r="M29" s="61"/>
      <x:c r="N29" s="61"/>
      <x:c r="O29" s="61"/>
      <x:c r="P29" s="61"/>
      <x:c r="Q29" s="61"/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1"/>
      <x:c r="M30" s="61"/>
      <x:c r="N30" s="61"/>
      <x:c r="O30" s="61"/>
      <x:c r="P30" s="61"/>
      <x:c r="Q30" s="61"/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1"/>
      <x:c r="M31" s="61"/>
      <x:c r="N31" s="61"/>
      <x:c r="O31" s="61"/>
      <x:c r="P31" s="61"/>
      <x:c r="Q31" s="61"/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1"/>
      <x:c r="N32" s="61"/>
      <x:c r="O32" s="61"/>
      <x:c r="P32" s="61"/>
      <x:c r="Q32" s="61"/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1"/>
      <x:c r="N33" s="61"/>
      <x:c r="O33" s="61"/>
      <x:c r="P33" s="61"/>
      <x:c r="Q33" s="61"/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1"/>
      <x:c r="M34" s="61"/>
      <x:c r="N34" s="61"/>
      <x:c r="O34" s="61"/>
      <x:c r="P34" s="61"/>
      <x:c r="Q34" s="61"/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1"/>
      <x:c r="M35" s="61"/>
      <x:c r="N35" s="61"/>
      <x:c r="O35" s="61"/>
      <x:c r="P35" s="61"/>
      <x:c r="Q35" s="61"/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1"/>
      <x:c r="M36" s="61"/>
      <x:c r="N36" s="61"/>
      <x:c r="O36" s="61"/>
      <x:c r="P36" s="61"/>
      <x:c r="Q36" s="61"/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1"/>
      <x:c r="M37" s="61"/>
      <x:c r="N37" s="61"/>
      <x:c r="O37" s="61"/>
      <x:c r="P37" s="61"/>
      <x:c r="Q37" s="61"/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1"/>
      <x:c r="M38" s="61"/>
      <x:c r="N38" s="61"/>
      <x:c r="O38" s="61"/>
      <x:c r="P38" s="61"/>
      <x:c r="Q38" s="61"/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1"/>
      <x:c r="M39" s="61"/>
      <x:c r="N39" s="61"/>
      <x:c r="O39" s="61"/>
      <x:c r="P39" s="61"/>
      <x:c r="Q39" s="61"/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1"/>
      <x:c r="N41" s="61"/>
      <x:c r="O41" s="61"/>
      <x:c r="P41" s="61"/>
      <x:c r="Q41" s="61"/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1"/>
      <x:c r="N42" s="61"/>
      <x:c r="O42" s="61"/>
      <x:c r="P42" s="61"/>
      <x:c r="Q42" s="61"/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1"/>
      <x:c r="O43" s="61"/>
      <x:c r="P43" s="61"/>
      <x:c r="Q43" s="61"/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1"/>
      <x:c r="O44" s="61"/>
      <x:c r="P44" s="61"/>
      <x:c r="Q44" s="61"/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1"/>
      <x:c r="N45" s="61"/>
      <x:c r="O45" s="61"/>
      <x:c r="P45" s="61"/>
      <x:c r="Q45" s="61"/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1"/>
      <x:c r="N46" s="61"/>
      <x:c r="O46" s="61"/>
      <x:c r="P46" s="61"/>
      <x:c r="Q46" s="61"/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1"/>
      <x:c r="N47" s="61"/>
      <x:c r="O47" s="61"/>
      <x:c r="P47" s="61"/>
      <x:c r="Q47" s="61"/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1"/>
      <x:c r="N48" s="61"/>
      <x:c r="O48" s="61"/>
      <x:c r="P48" s="61"/>
      <x:c r="Q48" s="61"/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1"/>
      <x:c r="N49" s="61"/>
      <x:c r="O49" s="61"/>
      <x:c r="P49" s="61"/>
      <x:c r="Q49" s="61"/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1"/>
      <x:c r="N50" s="61"/>
      <x:c r="O50" s="61"/>
      <x:c r="P50" s="61"/>
      <x:c r="Q50" s="61"/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1"/>
      <x:c r="O51" s="61"/>
      <x:c r="P51" s="61"/>
      <x:c r="Q51" s="61"/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1"/>
      <x:c r="N52" s="61"/>
      <x:c r="O52" s="61"/>
      <x:c r="P52" s="61"/>
      <x:c r="Q52" s="61"/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1"/>
      <x:c r="N53" s="61"/>
      <x:c r="O53" s="61"/>
      <x:c r="P53" s="61"/>
      <x:c r="Q53" s="61"/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1"/>
      <x:c r="N54" s="61"/>
      <x:c r="O54" s="61"/>
      <x:c r="P54" s="61"/>
      <x:c r="Q54" s="61"/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1"/>
      <x:c r="N55" s="61"/>
      <x:c r="O55" s="61"/>
      <x:c r="P55" s="61"/>
      <x:c r="Q55" s="61"/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1"/>
      <x:c r="N56" s="61"/>
      <x:c r="O56" s="61"/>
      <x:c r="P56" s="61"/>
      <x:c r="Q56" s="61"/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1"/>
      <x:c r="N57" s="61"/>
      <x:c r="O57" s="61"/>
      <x:c r="P57" s="61"/>
      <x:c r="Q57" s="61"/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1"/>
      <x:c r="N58" s="61"/>
      <x:c r="O58" s="61"/>
      <x:c r="P58" s="61"/>
      <x:c r="Q58" s="61"/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1"/>
      <x:c r="N59" s="61"/>
      <x:c r="O59" s="61"/>
      <x:c r="P59" s="61"/>
      <x:c r="Q59" s="61"/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1"/>
      <x:c r="N60" s="61"/>
      <x:c r="O60" s="61"/>
      <x:c r="P60" s="61"/>
      <x:c r="Q60" s="61"/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1"/>
      <x:c r="N61" s="61"/>
      <x:c r="O61" s="61"/>
      <x:c r="P61" s="61"/>
      <x:c r="Q61" s="61"/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1"/>
      <x:c r="N62" s="61"/>
      <x:c r="O62" s="61"/>
      <x:c r="P62" s="61"/>
      <x:c r="Q62" s="61"/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1"/>
      <x:c r="N63" s="61"/>
      <x:c r="O63" s="61"/>
      <x:c r="P63" s="61"/>
      <x:c r="Q63" s="61"/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1"/>
      <x:c r="N64" s="61"/>
      <x:c r="O64" s="61"/>
      <x:c r="P64" s="61"/>
      <x:c r="Q64" s="61"/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1"/>
      <x:c r="N65" s="61"/>
      <x:c r="O65" s="61"/>
      <x:c r="P65" s="61"/>
      <x:c r="Q65" s="61"/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1"/>
      <x:c r="N66" s="61"/>
      <x:c r="O66" s="61"/>
      <x:c r="P66" s="61"/>
      <x:c r="Q66" s="61"/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1"/>
      <x:c r="N67" s="61"/>
      <x:c r="O67" s="61"/>
      <x:c r="P67" s="61"/>
      <x:c r="Q67" s="61"/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1"/>
      <x:c r="N68" s="61"/>
      <x:c r="O68" s="61"/>
      <x:c r="P68" s="61"/>
      <x:c r="Q68" s="61"/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1"/>
      <x:c r="N69" s="61"/>
      <x:c r="O69" s="61"/>
      <x:c r="P69" s="61"/>
      <x:c r="Q69" s="61"/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1"/>
      <x:c r="N70" s="61"/>
      <x:c r="O70" s="61"/>
      <x:c r="P70" s="61"/>
      <x:c r="Q70" s="61"/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1"/>
      <x:c r="N71" s="61"/>
      <x:c r="O71" s="61"/>
      <x:c r="P71" s="61"/>
      <x:c r="Q71" s="61"/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1"/>
      <x:c r="N72" s="61"/>
      <x:c r="O72" s="61"/>
      <x:c r="P72" s="61"/>
      <x:c r="Q72" s="61"/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1"/>
      <x:c r="N73" s="61"/>
      <x:c r="O73" s="61"/>
      <x:c r="P73" s="61"/>
      <x:c r="Q73" s="61"/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1"/>
      <x:c r="N74" s="61"/>
      <x:c r="O74" s="61"/>
      <x:c r="P74" s="61"/>
      <x:c r="Q74" s="61"/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1"/>
      <x:c r="N75" s="61"/>
      <x:c r="O75" s="61"/>
      <x:c r="P75" s="61"/>
      <x:c r="Q75" s="61"/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1"/>
      <x:c r="N76" s="61"/>
      <x:c r="O76" s="61"/>
      <x:c r="P76" s="61"/>
      <x:c r="Q76" s="61"/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1"/>
      <x:c r="N77" s="61"/>
      <x:c r="O77" s="61"/>
      <x:c r="P77" s="61"/>
      <x:c r="Q77" s="61"/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1"/>
      <x:c r="N78" s="61"/>
      <x:c r="O78" s="61"/>
      <x:c r="P78" s="61"/>
      <x:c r="Q78" s="61"/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1"/>
      <x:c r="N79" s="61"/>
      <x:c r="O79" s="61"/>
      <x:c r="P79" s="61"/>
      <x:c r="Q79" s="61"/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1"/>
      <x:c r="N80" s="61"/>
      <x:c r="O80" s="61"/>
      <x:c r="P80" s="61"/>
      <x:c r="Q80" s="61"/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1"/>
      <x:c r="N81" s="61"/>
      <x:c r="O81" s="61"/>
      <x:c r="P81" s="61"/>
      <x:c r="Q81" s="61"/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/>
      <x:c r="P82" s="61"/>
      <x:c r="Q82" s="61"/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1"/>
      <x:c r="N83" s="61"/>
      <x:c r="O83" s="61"/>
      <x:c r="P83" s="61"/>
      <x:c r="Q83" s="61"/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1"/>
      <x:c r="N84" s="61"/>
      <x:c r="O84" s="61"/>
      <x:c r="P84" s="61"/>
      <x:c r="Q84" s="61"/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1"/>
      <x:c r="N85" s="61"/>
      <x:c r="O85" s="61"/>
      <x:c r="P85" s="61"/>
      <x:c r="Q85" s="61"/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1"/>
      <x:c r="N86" s="61"/>
      <x:c r="O86" s="61"/>
      <x:c r="P86" s="61"/>
      <x:c r="Q86" s="61"/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1"/>
      <x:c r="N87" s="61"/>
      <x:c r="O87" s="61"/>
      <x:c r="P87" s="61"/>
      <x:c r="Q87" s="61"/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1"/>
      <x:c r="N88" s="61"/>
      <x:c r="O88" s="61"/>
      <x:c r="P88" s="61"/>
      <x:c r="Q88" s="61"/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1"/>
      <x:c r="N89" s="61"/>
      <x:c r="O89" s="61"/>
      <x:c r="P89" s="61"/>
      <x:c r="Q89" s="61"/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1"/>
      <x:c r="N90" s="61"/>
      <x:c r="O90" s="61"/>
      <x:c r="P90" s="61"/>
      <x:c r="Q90" s="61"/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1"/>
      <x:c r="N91" s="61"/>
      <x:c r="O91" s="61"/>
      <x:c r="P91" s="61"/>
      <x:c r="Q91" s="61"/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1"/>
      <x:c r="N92" s="61"/>
      <x:c r="O92" s="61"/>
      <x:c r="P92" s="61"/>
      <x:c r="Q92" s="61"/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1"/>
      <x:c r="N93" s="61"/>
      <x:c r="O93" s="61"/>
      <x:c r="P93" s="61"/>
      <x:c r="Q93" s="61"/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1"/>
      <x:c r="N94" s="61"/>
      <x:c r="O94" s="61"/>
      <x:c r="P94" s="61"/>
      <x:c r="Q94" s="61"/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1"/>
      <x:c r="N95" s="61"/>
      <x:c r="O95" s="61"/>
      <x:c r="P95" s="61"/>
      <x:c r="Q95" s="61"/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1"/>
      <x:c r="N96" s="61"/>
      <x:c r="O96" s="61"/>
      <x:c r="P96" s="61"/>
      <x:c r="Q96" s="61"/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1"/>
      <x:c r="N97" s="61"/>
      <x:c r="O97" s="61"/>
      <x:c r="P97" s="61"/>
      <x:c r="Q97" s="61"/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1"/>
      <x:c r="N98" s="61"/>
      <x:c r="O98" s="61"/>
      <x:c r="P98" s="61"/>
      <x:c r="Q98" s="61"/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1"/>
      <x:c r="N99" s="61"/>
      <x:c r="O99" s="61"/>
      <x:c r="P99" s="61"/>
      <x:c r="Q99" s="61"/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1"/>
      <x:c r="N100" s="61"/>
      <x:c r="O100" s="61"/>
      <x:c r="P100" s="61"/>
      <x:c r="Q100" s="61"/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1"/>
      <x:c r="N101" s="61"/>
      <x:c r="O101" s="61"/>
      <x:c r="P101" s="61"/>
      <x:c r="Q101" s="61"/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1"/>
      <x:c r="N102" s="61"/>
      <x:c r="O102" s="61"/>
      <x:c r="P102" s="61"/>
      <x:c r="Q102" s="61"/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1"/>
      <x:c r="N103" s="61"/>
      <x:c r="O103" s="61"/>
      <x:c r="P103" s="61"/>
      <x:c r="Q103" s="61"/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1"/>
      <x:c r="N104" s="61"/>
      <x:c r="O104" s="61"/>
      <x:c r="P104" s="61"/>
      <x:c r="Q104" s="61"/>
    </x:row>
    <x:row r="105">
      <x:c r="A105" s="61"/>
      <x:c r="B105" s="61"/>
      <x:c r="C105" s="61"/>
      <x:c r="D105" s="61"/>
      <x:c r="E105" s="61"/>
      <x:c r="F105" s="61"/>
      <x:c r="G105" s="61"/>
      <x:c r="H105" s="61"/>
      <x:c r="I105" s="61"/>
      <x:c r="J105" s="61"/>
      <x:c r="K105" s="61"/>
      <x:c r="L105" s="61"/>
      <x:c r="M105" s="61"/>
      <x:c r="N105" s="61"/>
      <x:c r="O105" s="61"/>
      <x:c r="P105" s="61"/>
      <x:c r="Q105" s="61"/>
    </x:row>
    <x:row r="106">
      <x:c r="A106" s="61"/>
      <x:c r="B106" s="61"/>
      <x:c r="C106" s="61"/>
      <x:c r="D106" s="61"/>
      <x:c r="E106" s="61"/>
      <x:c r="F106" s="61"/>
      <x:c r="G106" s="61"/>
      <x:c r="H106" s="61"/>
      <x:c r="I106" s="61"/>
      <x:c r="J106" s="61"/>
      <x:c r="K106" s="61"/>
      <x:c r="L106" s="61"/>
      <x:c r="M106" s="61"/>
      <x:c r="N106" s="61"/>
      <x:c r="O106" s="61"/>
      <x:c r="P106" s="61"/>
      <x:c r="Q106" s="61"/>
    </x:row>
    <x:row r="107">
      <x:c r="A107" s="61"/>
      <x:c r="B107" s="61"/>
      <x:c r="C107" s="61"/>
      <x:c r="D107" s="61"/>
      <x:c r="E107" s="61"/>
      <x:c r="F107" s="61"/>
      <x:c r="G107" s="61"/>
      <x:c r="H107" s="61"/>
      <x:c r="I107" s="61"/>
      <x:c r="J107" s="61"/>
      <x:c r="K107" s="61"/>
      <x:c r="L107" s="61"/>
      <x:c r="M107" s="61"/>
      <x:c r="N107" s="61"/>
      <x:c r="O107" s="61"/>
      <x:c r="P107" s="61"/>
      <x:c r="Q107" s="61"/>
    </x:row>
    <x:row r="108">
      <x:c r="A108" s="61"/>
      <x:c r="B108" s="61"/>
      <x:c r="C108" s="61"/>
      <x:c r="D108" s="61"/>
      <x:c r="E108" s="61"/>
      <x:c r="F108" s="61"/>
      <x:c r="G108" s="61"/>
      <x:c r="H108" s="61"/>
      <x:c r="I108" s="61"/>
      <x:c r="J108" s="61"/>
      <x:c r="K108" s="61"/>
      <x:c r="L108" s="61"/>
      <x:c r="M108" s="61"/>
      <x:c r="N108" s="61"/>
      <x:c r="O108" s="61"/>
      <x:c r="P108" s="61"/>
      <x:c r="Q108" s="61"/>
    </x:row>
    <x:row r="109">
      <x:c r="A109" s="61"/>
      <x:c r="B109" s="61"/>
      <x:c r="C109" s="61"/>
      <x:c r="D109" s="61"/>
      <x:c r="E109" s="61"/>
      <x:c r="F109" s="61"/>
      <x:c r="G109" s="61"/>
      <x:c r="H109" s="61"/>
      <x:c r="I109" s="61"/>
      <x:c r="J109" s="61"/>
      <x:c r="K109" s="61"/>
      <x:c r="L109" s="61"/>
      <x:c r="M109" s="61"/>
      <x:c r="N109" s="61"/>
      <x:c r="O109" s="61"/>
      <x:c r="P109" s="61"/>
      <x:c r="Q109" s="61"/>
    </x:row>
    <x:row r="110">
      <x:c r="A110" s="61"/>
      <x:c r="B110" s="61"/>
      <x:c r="C110" s="61"/>
      <x:c r="D110" s="61"/>
      <x:c r="E110" s="61"/>
      <x:c r="F110" s="61"/>
      <x:c r="G110" s="61"/>
      <x:c r="H110" s="61"/>
      <x:c r="I110" s="61"/>
      <x:c r="J110" s="61"/>
      <x:c r="K110" s="61"/>
      <x:c r="L110" s="61"/>
      <x:c r="M110" s="61"/>
      <x:c r="N110" s="61"/>
      <x:c r="O110" s="61"/>
      <x:c r="P110" s="61"/>
      <x:c r="Q110" s="61"/>
    </x:row>
    <x:row r="111">
      <x:c r="A111" s="61"/>
      <x:c r="B111" s="61"/>
      <x:c r="C111" s="61"/>
      <x:c r="D111" s="61"/>
      <x:c r="E111" s="61"/>
      <x:c r="F111" s="61"/>
      <x:c r="G111" s="61"/>
      <x:c r="H111" s="61"/>
      <x:c r="I111" s="61"/>
      <x:c r="J111" s="61"/>
      <x:c r="K111" s="61"/>
      <x:c r="L111" s="61"/>
      <x:c r="M111" s="61"/>
      <x:c r="N111" s="61"/>
      <x:c r="O111" s="61"/>
      <x:c r="P111" s="61"/>
      <x:c r="Q111" s="61"/>
    </x:row>
    <x:row r="112">
      <x:c r="A112" s="61"/>
      <x:c r="B112" s="61"/>
      <x:c r="C112" s="61"/>
      <x:c r="D112" s="61"/>
      <x:c r="E112" s="61"/>
      <x:c r="F112" s="61"/>
      <x:c r="G112" s="61"/>
      <x:c r="H112" s="61"/>
      <x:c r="I112" s="61"/>
      <x:c r="J112" s="61"/>
      <x:c r="K112" s="61"/>
      <x:c r="L112" s="61"/>
      <x:c r="M112" s="61"/>
      <x:c r="N112" s="61"/>
      <x:c r="O112" s="61"/>
      <x:c r="P112" s="61"/>
      <x:c r="Q112" s="61"/>
    </x:row>
    <x:row r="113">
      <x:c r="A113" s="61"/>
      <x:c r="B113" s="61"/>
      <x:c r="C113" s="61"/>
      <x:c r="D113" s="61"/>
      <x:c r="E113" s="61"/>
      <x:c r="F113" s="61"/>
      <x:c r="G113" s="61"/>
      <x:c r="H113" s="61"/>
      <x:c r="I113" s="61"/>
      <x:c r="J113" s="61"/>
      <x:c r="K113" s="61"/>
      <x:c r="L113" s="61"/>
      <x:c r="M113" s="61"/>
      <x:c r="N113" s="61"/>
      <x:c r="O113" s="61"/>
      <x:c r="P113" s="61"/>
      <x:c r="Q113" s="61"/>
    </x:row>
    <x:row r="114">
      <x:c r="A114" s="61"/>
      <x:c r="B114" s="61"/>
      <x:c r="C114" s="61"/>
      <x:c r="D114" s="61"/>
      <x:c r="E114" s="61"/>
      <x:c r="F114" s="61"/>
      <x:c r="G114" s="61"/>
      <x:c r="H114" s="61"/>
      <x:c r="I114" s="61"/>
      <x:c r="J114" s="61"/>
      <x:c r="K114" s="61"/>
      <x:c r="L114" s="61"/>
      <x:c r="M114" s="61"/>
      <x:c r="N114" s="61"/>
      <x:c r="O114" s="61"/>
      <x:c r="P114" s="61"/>
      <x:c r="Q114" s="61"/>
    </x:row>
    <x:row r="115">
      <x:c r="A115" s="61"/>
      <x:c r="B115" s="61"/>
      <x:c r="C115" s="61"/>
      <x:c r="D115" s="61"/>
      <x:c r="E115" s="61"/>
      <x:c r="F115" s="61"/>
      <x:c r="G115" s="61"/>
      <x:c r="H115" s="61"/>
      <x:c r="I115" s="61"/>
      <x:c r="J115" s="61"/>
      <x:c r="K115" s="61"/>
      <x:c r="L115" s="61"/>
      <x:c r="M115" s="61"/>
      <x:c r="N115" s="61"/>
      <x:c r="O115" s="61"/>
      <x:c r="P115" s="61"/>
      <x:c r="Q115" s="61"/>
    </x:row>
    <x:row r="116">
      <x:c r="A116" s="61"/>
      <x:c r="B116" s="61"/>
      <x:c r="C116" s="61"/>
      <x:c r="D116" s="61"/>
      <x:c r="E116" s="61"/>
      <x:c r="F116" s="61"/>
      <x:c r="G116" s="61"/>
      <x:c r="H116" s="61"/>
      <x:c r="I116" s="61"/>
      <x:c r="J116" s="61"/>
      <x:c r="K116" s="61"/>
      <x:c r="L116" s="61"/>
      <x:c r="M116" s="61"/>
      <x:c r="N116" s="61"/>
      <x:c r="O116" s="61"/>
      <x:c r="P116" s="61"/>
      <x:c r="Q116" s="61"/>
    </x:row>
    <x:row r="117">
      <x:c r="A117" s="61"/>
      <x:c r="B117" s="61"/>
      <x:c r="C117" s="61"/>
      <x:c r="D117" s="61"/>
      <x:c r="E117" s="61"/>
      <x:c r="F117" s="61"/>
      <x:c r="G117" s="61"/>
      <x:c r="H117" s="61"/>
      <x:c r="I117" s="61"/>
      <x:c r="J117" s="61"/>
      <x:c r="K117" s="61"/>
      <x:c r="L117" s="61"/>
      <x:c r="M117" s="61"/>
      <x:c r="N117" s="61"/>
      <x:c r="O117" s="61"/>
      <x:c r="P117" s="61"/>
      <x:c r="Q117" s="61"/>
    </x:row>
    <x:row r="118">
      <x:c r="A118" s="61"/>
      <x:c r="B118" s="61"/>
      <x:c r="C118" s="61"/>
      <x:c r="D118" s="61"/>
      <x:c r="E118" s="61"/>
      <x:c r="F118" s="61"/>
      <x:c r="G118" s="61"/>
      <x:c r="H118" s="61"/>
      <x:c r="I118" s="61"/>
      <x:c r="J118" s="61"/>
      <x:c r="K118" s="61"/>
      <x:c r="L118" s="61"/>
      <x:c r="M118" s="61"/>
      <x:c r="N118" s="61"/>
      <x:c r="O118" s="61"/>
      <x:c r="P118" s="61"/>
      <x:c r="Q118" s="61"/>
    </x:row>
    <x:row r="119">
      <x:c r="A119" s="61"/>
      <x:c r="B119" s="61"/>
      <x:c r="C119" s="61"/>
      <x:c r="D119" s="61"/>
      <x:c r="E119" s="61"/>
      <x:c r="F119" s="61"/>
      <x:c r="G119" s="61"/>
      <x:c r="H119" s="61"/>
      <x:c r="I119" s="61"/>
      <x:c r="J119" s="61"/>
      <x:c r="K119" s="61"/>
      <x:c r="L119" s="61"/>
      <x:c r="M119" s="61"/>
      <x:c r="N119" s="61"/>
      <x:c r="O119" s="61"/>
      <x:c r="P119" s="61"/>
      <x:c r="Q119" s="61"/>
    </x:row>
    <x:row r="120">
      <x:c r="A120" s="61"/>
      <x:c r="B120" s="61"/>
      <x:c r="C120" s="61"/>
      <x:c r="D120" s="61"/>
      <x:c r="E120" s="61"/>
      <x:c r="F120" s="61"/>
      <x:c r="G120" s="61"/>
      <x:c r="H120" s="61"/>
      <x:c r="I120" s="61"/>
      <x:c r="J120" s="61"/>
      <x:c r="K120" s="61"/>
      <x:c r="L120" s="61"/>
      <x:c r="M120" s="61"/>
      <x:c r="N120" s="61"/>
      <x:c r="O120" s="61"/>
      <x:c r="P120" s="61"/>
      <x:c r="Q120" s="61"/>
    </x:row>
    <x:row r="121">
      <x:c r="A121" s="61"/>
      <x:c r="B121" s="61"/>
      <x:c r="C121" s="61"/>
      <x:c r="D121" s="61"/>
      <x:c r="E121" s="61"/>
      <x:c r="F121" s="61"/>
      <x:c r="G121" s="61"/>
      <x:c r="H121" s="61"/>
      <x:c r="I121" s="61"/>
      <x:c r="J121" s="61"/>
      <x:c r="K121" s="61"/>
      <x:c r="L121" s="61"/>
      <x:c r="M121" s="61"/>
      <x:c r="N121" s="61"/>
      <x:c r="O121" s="61"/>
      <x:c r="P121" s="61"/>
      <x:c r="Q121" s="61"/>
    </x:row>
    <x:row r="122">
      <x:c r="A122" s="61"/>
      <x:c r="B122" s="61"/>
      <x:c r="C122" s="61"/>
      <x:c r="D122" s="61"/>
      <x:c r="E122" s="61"/>
      <x:c r="F122" s="61"/>
      <x:c r="G122" s="61"/>
      <x:c r="H122" s="61"/>
      <x:c r="I122" s="61"/>
      <x:c r="J122" s="61"/>
      <x:c r="K122" s="61"/>
      <x:c r="L122" s="61"/>
      <x:c r="M122" s="61"/>
      <x:c r="N122" s="61"/>
      <x:c r="O122" s="61"/>
      <x:c r="P122" s="61"/>
      <x:c r="Q122" s="61"/>
    </x:row>
    <x:row r="123">
      <x:c r="A123" s="61"/>
      <x:c r="B123" s="61"/>
      <x:c r="C123" s="61"/>
      <x:c r="D123" s="61"/>
      <x:c r="E123" s="61"/>
      <x:c r="F123" s="61"/>
      <x:c r="G123" s="61"/>
      <x:c r="H123" s="61"/>
      <x:c r="I123" s="61"/>
      <x:c r="J123" s="61"/>
      <x:c r="K123" s="61"/>
      <x:c r="L123" s="61"/>
      <x:c r="M123" s="61"/>
      <x:c r="N123" s="61"/>
      <x:c r="O123" s="61"/>
      <x:c r="P123" s="61"/>
      <x:c r="Q123" s="61"/>
    </x:row>
    <x:row r="124">
      <x:c r="A124" s="61"/>
      <x:c r="B124" s="61"/>
      <x:c r="C124" s="61"/>
      <x:c r="D124" s="61"/>
      <x:c r="E124" s="61"/>
      <x:c r="F124" s="61"/>
      <x:c r="G124" s="61"/>
      <x:c r="H124" s="61"/>
      <x:c r="I124" s="61"/>
      <x:c r="J124" s="61"/>
      <x:c r="K124" s="61"/>
      <x:c r="L124" s="61"/>
      <x:c r="M124" s="61"/>
      <x:c r="N124" s="61"/>
      <x:c r="O124" s="61"/>
      <x:c r="P124" s="61"/>
      <x:c r="Q124" s="61"/>
    </x:row>
    <x:row r="125">
      <x:c r="A125" s="61"/>
      <x:c r="B125" s="61"/>
      <x:c r="C125" s="61"/>
      <x:c r="D125" s="61"/>
      <x:c r="E125" s="61"/>
      <x:c r="F125" s="61"/>
      <x:c r="G125" s="61"/>
      <x:c r="H125" s="61"/>
      <x:c r="I125" s="61"/>
      <x:c r="J125" s="61"/>
      <x:c r="K125" s="61"/>
      <x:c r="L125" s="61"/>
      <x:c r="M125" s="61"/>
      <x:c r="N125" s="61"/>
      <x:c r="O125" s="61"/>
      <x:c r="P125" s="61"/>
      <x:c r="Q125" s="61"/>
    </x:row>
    <x:row r="126">
      <x:c r="A126" s="61"/>
      <x:c r="B126" s="61"/>
      <x:c r="C126" s="61"/>
      <x:c r="D126" s="61"/>
      <x:c r="E126" s="61"/>
      <x:c r="F126" s="61"/>
      <x:c r="G126" s="61"/>
      <x:c r="H126" s="61"/>
      <x:c r="I126" s="61"/>
      <x:c r="J126" s="61"/>
      <x:c r="K126" s="61"/>
      <x:c r="L126" s="61"/>
      <x:c r="M126" s="61"/>
      <x:c r="N126" s="61"/>
      <x:c r="O126" s="61"/>
      <x:c r="P126" s="61"/>
      <x:c r="Q126" s="61"/>
    </x:row>
    <x:row r="127">
      <x:c r="A127" s="61"/>
      <x:c r="B127" s="61"/>
      <x:c r="C127" s="61"/>
      <x:c r="D127" s="61"/>
      <x:c r="E127" s="61"/>
      <x:c r="F127" s="61"/>
      <x:c r="G127" s="61"/>
      <x:c r="H127" s="61"/>
      <x:c r="I127" s="61"/>
      <x:c r="J127" s="61"/>
      <x:c r="K127" s="61"/>
      <x:c r="L127" s="61"/>
      <x:c r="M127" s="61"/>
      <x:c r="N127" s="61"/>
      <x:c r="O127" s="61"/>
      <x:c r="P127" s="61"/>
      <x:c r="Q127" s="61"/>
    </x:row>
    <x:row r="128">
      <x:c r="A128" s="61"/>
      <x:c r="B128" s="61"/>
      <x:c r="C128" s="61"/>
      <x:c r="D128" s="61"/>
      <x:c r="E128" s="61"/>
      <x:c r="F128" s="61"/>
      <x:c r="G128" s="61"/>
      <x:c r="H128" s="61"/>
      <x:c r="I128" s="61"/>
      <x:c r="J128" s="61"/>
      <x:c r="K128" s="61"/>
      <x:c r="L128" s="61"/>
      <x:c r="M128" s="61"/>
      <x:c r="N128" s="61"/>
      <x:c r="O128" s="61"/>
      <x:c r="P128" s="61"/>
      <x:c r="Q128" s="61"/>
    </x:row>
    <x:row r="129">
      <x:c r="A129" s="61"/>
      <x:c r="B129" s="61"/>
      <x:c r="C129" s="61"/>
      <x:c r="D129" s="61"/>
      <x:c r="E129" s="61"/>
      <x:c r="F129" s="61"/>
      <x:c r="G129" s="61"/>
      <x:c r="H129" s="61"/>
      <x:c r="I129" s="61"/>
      <x:c r="J129" s="61"/>
      <x:c r="K129" s="61"/>
      <x:c r="L129" s="61"/>
      <x:c r="M129" s="61"/>
      <x:c r="N129" s="61"/>
      <x:c r="O129" s="61"/>
      <x:c r="P129" s="61"/>
      <x:c r="Q129" s="61"/>
    </x:row>
    <x:row r="130">
      <x:c r="A130" s="61"/>
      <x:c r="B130" s="61"/>
      <x:c r="C130" s="61"/>
      <x:c r="D130" s="61"/>
      <x:c r="E130" s="61"/>
      <x:c r="F130" s="61"/>
      <x:c r="G130" s="61"/>
      <x:c r="H130" s="61"/>
      <x:c r="I130" s="61"/>
      <x:c r="J130" s="61"/>
      <x:c r="K130" s="61"/>
      <x:c r="L130" s="61"/>
      <x:c r="M130" s="61"/>
      <x:c r="N130" s="61"/>
      <x:c r="O130" s="61"/>
      <x:c r="P130" s="61"/>
      <x:c r="Q130" s="61"/>
    </x:row>
    <x:row r="131">
      <x:c r="A131" s="61"/>
      <x:c r="B131" s="61"/>
      <x:c r="C131" s="61"/>
      <x:c r="D131" s="61"/>
      <x:c r="E131" s="61"/>
      <x:c r="F131" s="61"/>
      <x:c r="G131" s="61"/>
      <x:c r="H131" s="61"/>
      <x:c r="I131" s="61"/>
      <x:c r="J131" s="61"/>
      <x:c r="K131" s="61"/>
      <x:c r="L131" s="61"/>
      <x:c r="M131" s="61"/>
      <x:c r="N131" s="61"/>
      <x:c r="O131" s="61"/>
      <x:c r="P131" s="61"/>
      <x:c r="Q131" s="61"/>
    </x:row>
    <x:row r="132">
      <x:c r="A132" s="61"/>
      <x:c r="B132" s="61"/>
      <x:c r="C132" s="61"/>
      <x:c r="D132" s="61"/>
      <x:c r="E132" s="61"/>
      <x:c r="F132" s="61"/>
      <x:c r="G132" s="61"/>
      <x:c r="H132" s="61"/>
      <x:c r="I132" s="61"/>
      <x:c r="J132" s="61"/>
      <x:c r="K132" s="61"/>
      <x:c r="L132" s="61"/>
      <x:c r="M132" s="61"/>
      <x:c r="N132" s="61"/>
      <x:c r="O132" s="61"/>
      <x:c r="P132" s="61"/>
      <x:c r="Q132" s="61"/>
    </x:row>
    <x:row r="133">
      <x:c r="A133" s="61"/>
      <x:c r="B133" s="61"/>
      <x:c r="C133" s="61"/>
      <x:c r="D133" s="61"/>
      <x:c r="E133" s="61"/>
      <x:c r="F133" s="61"/>
      <x:c r="G133" s="61"/>
      <x:c r="H133" s="61"/>
      <x:c r="I133" s="61"/>
      <x:c r="J133" s="61"/>
      <x:c r="K133" s="61"/>
      <x:c r="L133" s="61"/>
      <x:c r="M133" s="61"/>
      <x:c r="N133" s="61"/>
      <x:c r="O133" s="61"/>
      <x:c r="P133" s="61"/>
      <x:c r="Q133" s="61"/>
    </x:row>
    <x:row r="134">
      <x:c r="A134" s="61"/>
      <x:c r="B134" s="61"/>
      <x:c r="C134" s="61"/>
      <x:c r="D134" s="61"/>
      <x:c r="E134" s="61"/>
      <x:c r="F134" s="61"/>
      <x:c r="G134" s="61"/>
      <x:c r="H134" s="61"/>
      <x:c r="I134" s="61"/>
      <x:c r="J134" s="61"/>
      <x:c r="K134" s="61"/>
      <x:c r="L134" s="61"/>
      <x:c r="M134" s="61"/>
      <x:c r="N134" s="61"/>
      <x:c r="O134" s="61"/>
      <x:c r="P134" s="61"/>
      <x:c r="Q134" s="61"/>
    </x:row>
    <x:row r="135">
      <x:c r="A135" s="61"/>
      <x:c r="B135" s="61"/>
      <x:c r="C135" s="61"/>
      <x:c r="D135" s="61"/>
      <x:c r="E135" s="61"/>
      <x:c r="F135" s="61"/>
      <x:c r="G135" s="61"/>
      <x:c r="H135" s="61"/>
      <x:c r="I135" s="61"/>
      <x:c r="J135" s="61"/>
      <x:c r="K135" s="61"/>
      <x:c r="L135" s="61"/>
      <x:c r="M135" s="61"/>
      <x:c r="N135" s="61"/>
      <x:c r="O135" s="61"/>
      <x:c r="P135" s="61"/>
      <x:c r="Q135" s="61"/>
    </x:row>
    <x:row r="136">
      <x:c r="A136" s="61"/>
      <x:c r="B136" s="61"/>
      <x:c r="C136" s="61"/>
      <x:c r="D136" s="61"/>
      <x:c r="E136" s="61"/>
      <x:c r="F136" s="61"/>
      <x:c r="G136" s="61"/>
      <x:c r="H136" s="61"/>
      <x:c r="I136" s="61"/>
      <x:c r="J136" s="61"/>
      <x:c r="K136" s="61"/>
      <x:c r="L136" s="61"/>
      <x:c r="M136" s="61"/>
      <x:c r="N136" s="61"/>
      <x:c r="O136" s="61"/>
      <x:c r="P136" s="61"/>
      <x:c r="Q136" s="61"/>
    </x:row>
    <x:row r="137">
      <x:c r="A137" s="61"/>
      <x:c r="B137" s="61"/>
      <x:c r="C137" s="61"/>
      <x:c r="D137" s="61"/>
      <x:c r="E137" s="61"/>
      <x:c r="F137" s="61"/>
      <x:c r="G137" s="61"/>
      <x:c r="H137" s="61"/>
      <x:c r="I137" s="61"/>
      <x:c r="J137" s="61"/>
      <x:c r="K137" s="61"/>
      <x:c r="L137" s="61"/>
      <x:c r="M137" s="61"/>
      <x:c r="N137" s="61"/>
      <x:c r="O137" s="61"/>
      <x:c r="P137" s="61"/>
      <x:c r="Q137" s="61"/>
    </x:row>
    <x:row r="138">
      <x:c r="A138" s="61"/>
      <x:c r="B138" s="61"/>
      <x:c r="C138" s="61"/>
      <x:c r="D138" s="61"/>
      <x:c r="E138" s="61"/>
      <x:c r="F138" s="61"/>
      <x:c r="G138" s="61"/>
      <x:c r="H138" s="61"/>
      <x:c r="I138" s="61"/>
      <x:c r="J138" s="61"/>
      <x:c r="K138" s="61"/>
      <x:c r="L138" s="61"/>
      <x:c r="M138" s="61"/>
      <x:c r="N138" s="61"/>
      <x:c r="O138" s="61"/>
      <x:c r="P138" s="61"/>
      <x:c r="Q138" s="61"/>
    </x:row>
    <x:row r="139">
      <x:c r="A139" s="61"/>
      <x:c r="B139" s="61"/>
      <x:c r="C139" s="61"/>
      <x:c r="D139" s="61"/>
      <x:c r="E139" s="61"/>
      <x:c r="F139" s="61"/>
      <x:c r="G139" s="61"/>
      <x:c r="H139" s="61"/>
      <x:c r="I139" s="61"/>
      <x:c r="J139" s="61"/>
      <x:c r="K139" s="61"/>
      <x:c r="L139" s="61"/>
      <x:c r="M139" s="61"/>
      <x:c r="N139" s="61"/>
      <x:c r="O139" s="61"/>
      <x:c r="P139" s="61"/>
      <x:c r="Q139" s="61"/>
    </x:row>
    <x:row r="140">
      <x:c r="A140" s="61"/>
      <x:c r="B140" s="61"/>
      <x:c r="C140" s="61"/>
      <x:c r="D140" s="61"/>
      <x:c r="E140" s="61"/>
      <x:c r="F140" s="61"/>
      <x:c r="G140" s="61"/>
      <x:c r="H140" s="61"/>
      <x:c r="I140" s="61"/>
      <x:c r="J140" s="61"/>
      <x:c r="K140" s="61"/>
      <x:c r="L140" s="61"/>
      <x:c r="M140" s="61"/>
      <x:c r="N140" s="61"/>
      <x:c r="O140" s="61"/>
      <x:c r="P140" s="61"/>
      <x:c r="Q140" s="61"/>
    </x:row>
    <x:row r="141">
      <x:c r="A141" s="61"/>
      <x:c r="B141" s="61"/>
      <x:c r="C141" s="61"/>
      <x:c r="D141" s="61"/>
      <x:c r="E141" s="61"/>
      <x:c r="F141" s="61"/>
      <x:c r="G141" s="61"/>
      <x:c r="H141" s="61"/>
      <x:c r="I141" s="61"/>
      <x:c r="J141" s="61"/>
      <x:c r="K141" s="61"/>
      <x:c r="L141" s="61"/>
      <x:c r="M141" s="61"/>
      <x:c r="N141" s="61"/>
      <x:c r="O141" s="61"/>
      <x:c r="P141" s="61"/>
      <x:c r="Q141" s="61"/>
    </x:row>
    <x:row r="142">
      <x:c r="A142" s="61"/>
      <x:c r="B142" s="61"/>
      <x:c r="C142" s="61"/>
      <x:c r="D142" s="61"/>
      <x:c r="E142" s="61"/>
      <x:c r="F142" s="61"/>
      <x:c r="G142" s="61"/>
      <x:c r="H142" s="61"/>
      <x:c r="I142" s="61"/>
      <x:c r="J142" s="61"/>
      <x:c r="K142" s="61"/>
      <x:c r="L142" s="61"/>
      <x:c r="M142" s="61"/>
      <x:c r="N142" s="61"/>
      <x:c r="O142" s="61"/>
      <x:c r="P142" s="61"/>
      <x:c r="Q142" s="61"/>
    </x:row>
    <x:row r="143">
      <x:c r="A143" s="61"/>
      <x:c r="B143" s="61"/>
      <x:c r="C143" s="61"/>
      <x:c r="D143" s="61"/>
      <x:c r="E143" s="61"/>
      <x:c r="F143" s="61"/>
      <x:c r="G143" s="61"/>
      <x:c r="H143" s="61"/>
      <x:c r="I143" s="61"/>
      <x:c r="J143" s="61"/>
      <x:c r="K143" s="61"/>
      <x:c r="L143" s="61"/>
      <x:c r="M143" s="61"/>
      <x:c r="N143" s="61"/>
      <x:c r="O143" s="61"/>
      <x:c r="P143" s="61"/>
      <x:c r="Q143" s="61"/>
    </x:row>
    <x:row r="144">
      <x:c r="A144" s="61"/>
      <x:c r="B144" s="61"/>
      <x:c r="C144" s="61"/>
      <x:c r="D144" s="61"/>
      <x:c r="E144" s="61"/>
      <x:c r="F144" s="61"/>
      <x:c r="G144" s="61"/>
      <x:c r="H144" s="61"/>
      <x:c r="I144" s="61"/>
      <x:c r="J144" s="61"/>
      <x:c r="K144" s="61"/>
      <x:c r="L144" s="61"/>
      <x:c r="M144" s="61"/>
      <x:c r="N144" s="61"/>
      <x:c r="O144" s="61"/>
      <x:c r="P144" s="61"/>
      <x:c r="Q144" s="61"/>
    </x:row>
    <x:row r="145">
      <x:c r="A145" s="61"/>
      <x:c r="B145" s="61"/>
      <x:c r="C145" s="61"/>
      <x:c r="D145" s="61"/>
      <x:c r="E145" s="61"/>
      <x:c r="F145" s="61"/>
      <x:c r="G145" s="61"/>
      <x:c r="H145" s="61"/>
      <x:c r="I145" s="61"/>
      <x:c r="J145" s="61"/>
      <x:c r="K145" s="61"/>
      <x:c r="L145" s="61"/>
      <x:c r="M145" s="61"/>
      <x:c r="N145" s="61"/>
      <x:c r="O145" s="61"/>
      <x:c r="P145" s="61"/>
      <x:c r="Q145" s="61"/>
    </x:row>
    <x:row r="146">
      <x:c r="A146" s="61"/>
      <x:c r="B146" s="61"/>
      <x:c r="C146" s="61"/>
      <x:c r="D146" s="61"/>
      <x:c r="E146" s="61"/>
      <x:c r="F146" s="61"/>
      <x:c r="G146" s="61"/>
      <x:c r="H146" s="61"/>
      <x:c r="I146" s="61"/>
      <x:c r="J146" s="61"/>
      <x:c r="K146" s="61"/>
      <x:c r="L146" s="61"/>
      <x:c r="M146" s="61"/>
      <x:c r="N146" s="61"/>
      <x:c r="O146" s="61"/>
      <x:c r="P146" s="61"/>
      <x:c r="Q146" s="61"/>
    </x:row>
    <x:row r="147">
      <x:c r="A147" s="61"/>
      <x:c r="B147" s="61"/>
      <x:c r="C147" s="61"/>
      <x:c r="D147" s="61"/>
      <x:c r="E147" s="61"/>
      <x:c r="F147" s="61"/>
      <x:c r="G147" s="61"/>
      <x:c r="H147" s="61"/>
      <x:c r="I147" s="61"/>
      <x:c r="J147" s="61"/>
      <x:c r="K147" s="61"/>
      <x:c r="L147" s="61"/>
      <x:c r="M147" s="61"/>
      <x:c r="N147" s="61"/>
      <x:c r="O147" s="61"/>
      <x:c r="P147" s="61"/>
      <x:c r="Q147" s="61"/>
    </x:row>
    <x:row r="148">
      <x:c r="A148" s="61"/>
      <x:c r="B148" s="61"/>
      <x:c r="C148" s="61"/>
      <x:c r="D148" s="61"/>
      <x:c r="E148" s="61"/>
      <x:c r="F148" s="61"/>
      <x:c r="G148" s="61"/>
      <x:c r="H148" s="61"/>
      <x:c r="I148" s="61"/>
      <x:c r="J148" s="61"/>
      <x:c r="K148" s="61"/>
      <x:c r="L148" s="61"/>
      <x:c r="M148" s="61"/>
      <x:c r="N148" s="61"/>
      <x:c r="O148" s="61"/>
      <x:c r="P148" s="61"/>
      <x:c r="Q148" s="61"/>
    </x:row>
    <x:row r="149">
      <x:c r="A149" s="61"/>
      <x:c r="B149" s="61"/>
      <x:c r="C149" s="61"/>
      <x:c r="D149" s="61"/>
      <x:c r="E149" s="61"/>
      <x:c r="F149" s="61"/>
      <x:c r="G149" s="61"/>
      <x:c r="H149" s="61"/>
      <x:c r="I149" s="61"/>
      <x:c r="J149" s="61"/>
      <x:c r="K149" s="61"/>
      <x:c r="L149" s="61"/>
      <x:c r="M149" s="61"/>
      <x:c r="N149" s="61"/>
      <x:c r="O149" s="61"/>
      <x:c r="P149" s="61"/>
      <x:c r="Q149" s="61"/>
    </x:row>
    <x:row r="150">
      <x:c r="A150" s="61"/>
      <x:c r="B150" s="61"/>
      <x:c r="C150" s="61"/>
      <x:c r="D150" s="61"/>
      <x:c r="E150" s="61"/>
      <x:c r="F150" s="61"/>
      <x:c r="G150" s="61"/>
      <x:c r="H150" s="61"/>
      <x:c r="I150" s="61"/>
      <x:c r="J150" s="61"/>
      <x:c r="K150" s="61"/>
      <x:c r="L150" s="61"/>
      <x:c r="M150" s="61"/>
      <x:c r="N150" s="61"/>
      <x:c r="O150" s="61"/>
      <x:c r="P150" s="61"/>
      <x:c r="Q150" s="61"/>
    </x:row>
    <x:row r="151">
      <x:c r="A151" s="61"/>
      <x:c r="B151" s="61"/>
      <x:c r="C151" s="61"/>
      <x:c r="D151" s="61"/>
      <x:c r="E151" s="61"/>
      <x:c r="F151" s="61"/>
      <x:c r="G151" s="61"/>
      <x:c r="H151" s="61"/>
      <x:c r="I151" s="61"/>
      <x:c r="J151" s="61"/>
      <x:c r="K151" s="61"/>
      <x:c r="L151" s="61"/>
      <x:c r="M151" s="61"/>
      <x:c r="N151" s="61"/>
      <x:c r="O151" s="61"/>
      <x:c r="P151" s="61"/>
      <x:c r="Q151" s="61"/>
    </x:row>
    <x:row r="152">
      <x:c r="A152" s="61"/>
      <x:c r="B152" s="61"/>
      <x:c r="C152" s="61"/>
      <x:c r="D152" s="61"/>
      <x:c r="E152" s="61"/>
      <x:c r="F152" s="61"/>
      <x:c r="G152" s="61"/>
      <x:c r="H152" s="61"/>
      <x:c r="I152" s="61"/>
      <x:c r="J152" s="61"/>
      <x:c r="K152" s="61"/>
      <x:c r="L152" s="61"/>
      <x:c r="M152" s="61"/>
      <x:c r="N152" s="61"/>
      <x:c r="O152" s="61"/>
      <x:c r="P152" s="61"/>
      <x:c r="Q152" s="61"/>
    </x:row>
    <x:row r="153">
      <x:c r="A153" s="61"/>
      <x:c r="B153" s="61"/>
      <x:c r="C153" s="61"/>
      <x:c r="D153" s="61"/>
      <x:c r="E153" s="61"/>
      <x:c r="F153" s="61"/>
      <x:c r="G153" s="61"/>
      <x:c r="H153" s="61"/>
      <x:c r="I153" s="61"/>
      <x:c r="J153" s="61"/>
      <x:c r="K153" s="61"/>
      <x:c r="L153" s="61"/>
      <x:c r="M153" s="61"/>
      <x:c r="N153" s="61"/>
      <x:c r="O153" s="61"/>
      <x:c r="P153" s="61"/>
      <x:c r="Q153" s="61"/>
    </x:row>
    <x:row r="154">
      <x:c r="A154" s="61"/>
      <x:c r="B154" s="61"/>
      <x:c r="C154" s="61"/>
      <x:c r="D154" s="61"/>
      <x:c r="E154" s="61"/>
      <x:c r="F154" s="61"/>
      <x:c r="G154" s="61"/>
      <x:c r="H154" s="61"/>
      <x:c r="I154" s="61"/>
      <x:c r="J154" s="61"/>
      <x:c r="K154" s="61"/>
      <x:c r="L154" s="61"/>
      <x:c r="M154" s="61"/>
      <x:c r="N154" s="61"/>
      <x:c r="O154" s="61"/>
      <x:c r="P154" s="61"/>
      <x:c r="Q154" s="61"/>
    </x:row>
    <x:row r="155">
      <x:c r="A155" s="61"/>
      <x:c r="B155" s="61"/>
      <x:c r="C155" s="61"/>
      <x:c r="D155" s="61"/>
      <x:c r="E155" s="61"/>
      <x:c r="F155" s="61"/>
      <x:c r="G155" s="61"/>
      <x:c r="H155" s="61"/>
      <x:c r="I155" s="61"/>
      <x:c r="J155" s="61"/>
      <x:c r="K155" s="61"/>
      <x:c r="L155" s="61"/>
      <x:c r="M155" s="61"/>
      <x:c r="N155" s="61"/>
      <x:c r="O155" s="61"/>
      <x:c r="P155" s="61"/>
      <x:c r="Q155" s="61"/>
    </x:row>
    <x:row r="156">
      <x:c r="A156" s="61"/>
      <x:c r="B156" s="61"/>
      <x:c r="C156" s="61"/>
      <x:c r="D156" s="61"/>
      <x:c r="E156" s="61"/>
      <x:c r="F156" s="61"/>
      <x:c r="G156" s="61"/>
      <x:c r="H156" s="61"/>
      <x:c r="I156" s="61"/>
      <x:c r="J156" s="61"/>
      <x:c r="K156" s="61"/>
      <x:c r="L156" s="61"/>
      <x:c r="M156" s="61"/>
      <x:c r="N156" s="61"/>
      <x:c r="O156" s="61"/>
      <x:c r="P156" s="61"/>
      <x:c r="Q156" s="61"/>
    </x:row>
    <x:row r="157">
      <x:c r="A157" s="61"/>
      <x:c r="B157" s="61"/>
      <x:c r="C157" s="61"/>
      <x:c r="D157" s="61"/>
      <x:c r="E157" s="61"/>
      <x:c r="F157" s="61"/>
      <x:c r="G157" s="61"/>
      <x:c r="H157" s="61"/>
      <x:c r="I157" s="61"/>
      <x:c r="J157" s="61"/>
      <x:c r="K157" s="61"/>
      <x:c r="L157" s="61"/>
      <x:c r="M157" s="61"/>
      <x:c r="N157" s="61"/>
      <x:c r="O157" s="61"/>
      <x:c r="P157" s="61"/>
      <x:c r="Q157" s="61"/>
    </x:row>
    <x:row r="158">
      <x:c r="A158" s="61"/>
      <x:c r="B158" s="61"/>
      <x:c r="C158" s="61"/>
      <x:c r="D158" s="61"/>
      <x:c r="E158" s="61"/>
      <x:c r="F158" s="61"/>
      <x:c r="G158" s="61"/>
      <x:c r="H158" s="61"/>
      <x:c r="I158" s="61"/>
      <x:c r="J158" s="61"/>
      <x:c r="K158" s="61"/>
      <x:c r="L158" s="61"/>
      <x:c r="M158" s="61"/>
      <x:c r="N158" s="61"/>
      <x:c r="O158" s="61"/>
      <x:c r="P158" s="61"/>
      <x:c r="Q158" s="61"/>
    </x:row>
    <x:row r="159">
      <x:c r="A159" s="61"/>
      <x:c r="B159" s="61"/>
      <x:c r="C159" s="61"/>
      <x:c r="D159" s="61"/>
      <x:c r="E159" s="61"/>
      <x:c r="F159" s="61"/>
      <x:c r="G159" s="61"/>
      <x:c r="H159" s="61"/>
      <x:c r="I159" s="61"/>
      <x:c r="J159" s="61"/>
      <x:c r="K159" s="61"/>
      <x:c r="L159" s="61"/>
      <x:c r="M159" s="61"/>
      <x:c r="N159" s="61"/>
      <x:c r="O159" s="61"/>
      <x:c r="P159" s="61"/>
      <x:c r="Q159" s="61"/>
    </x:row>
    <x:row r="160">
      <x:c r="A160" s="61"/>
      <x:c r="B160" s="61"/>
      <x:c r="C160" s="61"/>
      <x:c r="D160" s="61"/>
      <x:c r="E160" s="61"/>
      <x:c r="F160" s="61"/>
      <x:c r="G160" s="61"/>
      <x:c r="H160" s="61"/>
      <x:c r="I160" s="61"/>
      <x:c r="J160" s="61"/>
      <x:c r="K160" s="61"/>
      <x:c r="L160" s="61"/>
      <x:c r="M160" s="61"/>
      <x:c r="N160" s="61"/>
      <x:c r="O160" s="61"/>
      <x:c r="P160" s="61"/>
      <x:c r="Q160" s="61"/>
    </x:row>
    <x:row r="161">
      <x:c r="A161" s="61"/>
      <x:c r="B161" s="61"/>
      <x:c r="C161" s="61"/>
      <x:c r="D161" s="61"/>
      <x:c r="E161" s="61"/>
      <x:c r="F161" s="61"/>
      <x:c r="G161" s="61"/>
      <x:c r="H161" s="61"/>
      <x:c r="I161" s="61"/>
      <x:c r="J161" s="61"/>
      <x:c r="K161" s="61"/>
      <x:c r="L161" s="61"/>
      <x:c r="M161" s="61"/>
      <x:c r="N161" s="61"/>
      <x:c r="O161" s="61"/>
      <x:c r="P161" s="61"/>
      <x:c r="Q161" s="61"/>
    </x:row>
    <x:row r="162">
      <x:c r="A162" s="61"/>
      <x:c r="B162" s="61"/>
      <x:c r="C162" s="61"/>
      <x:c r="D162" s="61"/>
      <x:c r="E162" s="61"/>
      <x:c r="F162" s="61"/>
      <x:c r="G162" s="61"/>
      <x:c r="H162" s="61"/>
      <x:c r="I162" s="61"/>
      <x:c r="J162" s="61"/>
      <x:c r="K162" s="61"/>
      <x:c r="L162" s="61"/>
      <x:c r="M162" s="61"/>
      <x:c r="N162" s="61"/>
      <x:c r="O162" s="61"/>
      <x:c r="P162" s="61"/>
      <x:c r="Q162" s="61"/>
    </x:row>
    <x:row r="163">
      <x:c r="A163" s="61"/>
      <x:c r="B163" s="61"/>
      <x:c r="C163" s="61"/>
      <x:c r="D163" s="61"/>
      <x:c r="E163" s="61"/>
      <x:c r="F163" s="61"/>
      <x:c r="G163" s="61"/>
      <x:c r="H163" s="61"/>
      <x:c r="I163" s="61"/>
      <x:c r="J163" s="61"/>
      <x:c r="K163" s="61"/>
      <x:c r="L163" s="61"/>
      <x:c r="M163" s="61"/>
      <x:c r="N163" s="61"/>
      <x:c r="O163" s="61"/>
      <x:c r="P163" s="61"/>
      <x:c r="Q163" s="61"/>
    </x:row>
    <x:row r="164">
      <x:c r="A164" s="61"/>
      <x:c r="B164" s="61"/>
      <x:c r="C164" s="61"/>
      <x:c r="D164" s="61"/>
      <x:c r="E164" s="61"/>
      <x:c r="F164" s="61"/>
      <x:c r="G164" s="61"/>
      <x:c r="H164" s="61"/>
      <x:c r="I164" s="61"/>
      <x:c r="J164" s="61"/>
      <x:c r="K164" s="61"/>
      <x:c r="L164" s="61"/>
      <x:c r="M164" s="61"/>
      <x:c r="N164" s="61"/>
      <x:c r="O164" s="61"/>
      <x:c r="P164" s="61"/>
      <x:c r="Q164" s="61"/>
    </x:row>
    <x:row r="165">
      <x:c r="A165" s="61"/>
      <x:c r="B165" s="61"/>
      <x:c r="C165" s="61"/>
      <x:c r="D165" s="61"/>
      <x:c r="E165" s="61"/>
      <x:c r="F165" s="61"/>
      <x:c r="G165" s="61"/>
      <x:c r="H165" s="61"/>
      <x:c r="I165" s="61"/>
      <x:c r="J165" s="61"/>
      <x:c r="K165" s="61"/>
      <x:c r="L165" s="61"/>
      <x:c r="M165" s="61"/>
      <x:c r="N165" s="61"/>
      <x:c r="O165" s="61"/>
      <x:c r="P165" s="61"/>
      <x:c r="Q165" s="61"/>
    </x:row>
    <x:row r="166">
      <x:c r="A166" s="61"/>
      <x:c r="B166" s="61"/>
      <x:c r="C166" s="61"/>
      <x:c r="D166" s="61"/>
      <x:c r="E166" s="61"/>
      <x:c r="F166" s="61"/>
      <x:c r="G166" s="61"/>
      <x:c r="H166" s="61"/>
      <x:c r="I166" s="61"/>
      <x:c r="J166" s="61"/>
      <x:c r="K166" s="61"/>
      <x:c r="L166" s="61"/>
      <x:c r="M166" s="61"/>
      <x:c r="N166" s="61"/>
      <x:c r="O166" s="61"/>
      <x:c r="P166" s="61"/>
      <x:c r="Q166" s="61"/>
    </x:row>
    <x:row r="167">
      <x:c r="A167" s="61"/>
      <x:c r="B167" s="61"/>
      <x:c r="C167" s="61"/>
      <x:c r="D167" s="61"/>
      <x:c r="E167" s="61"/>
      <x:c r="F167" s="61"/>
      <x:c r="G167" s="61"/>
      <x:c r="H167" s="61"/>
      <x:c r="I167" s="61"/>
      <x:c r="J167" s="61"/>
      <x:c r="K167" s="61"/>
      <x:c r="L167" s="61"/>
      <x:c r="M167" s="61"/>
      <x:c r="N167" s="61"/>
      <x:c r="O167" s="61"/>
      <x:c r="P167" s="61"/>
      <x:c r="Q167" s="61"/>
    </x:row>
    <x:row r="168">
      <x:c r="A168" s="61"/>
      <x:c r="B168" s="61"/>
      <x:c r="C168" s="61"/>
      <x:c r="D168" s="61"/>
      <x:c r="E168" s="61"/>
      <x:c r="F168" s="61"/>
      <x:c r="G168" s="61"/>
      <x:c r="H168" s="61"/>
      <x:c r="I168" s="61"/>
      <x:c r="J168" s="61"/>
      <x:c r="K168" s="61"/>
      <x:c r="L168" s="61"/>
      <x:c r="M168" s="61"/>
      <x:c r="N168" s="61"/>
      <x:c r="O168" s="61"/>
      <x:c r="P168" s="61"/>
      <x:c r="Q168" s="61"/>
    </x:row>
    <x:row r="169">
      <x:c r="A169" s="61"/>
      <x:c r="B169" s="61"/>
      <x:c r="C169" s="61"/>
      <x:c r="D169" s="61"/>
      <x:c r="E169" s="61"/>
      <x:c r="F169" s="61"/>
      <x:c r="G169" s="61"/>
      <x:c r="H169" s="61"/>
      <x:c r="I169" s="61"/>
      <x:c r="J169" s="61"/>
      <x:c r="K169" s="61"/>
      <x:c r="L169" s="61"/>
      <x:c r="M169" s="61"/>
      <x:c r="N169" s="61"/>
      <x:c r="O169" s="61"/>
      <x:c r="P169" s="61"/>
      <x:c r="Q169" s="61"/>
    </x:row>
    <x:row r="170">
      <x:c r="A170" s="61"/>
      <x:c r="B170" s="61"/>
      <x:c r="C170" s="61"/>
      <x:c r="D170" s="61"/>
      <x:c r="E170" s="61"/>
      <x:c r="F170" s="61"/>
      <x:c r="G170" s="61"/>
      <x:c r="H170" s="61"/>
      <x:c r="I170" s="61"/>
      <x:c r="J170" s="61"/>
      <x:c r="K170" s="61"/>
      <x:c r="L170" s="61"/>
      <x:c r="M170" s="61"/>
      <x:c r="N170" s="61"/>
      <x:c r="O170" s="61"/>
      <x:c r="P170" s="61"/>
      <x:c r="Q170" s="61"/>
    </x:row>
    <x:row r="171">
      <x:c r="A171" s="61"/>
      <x:c r="B171" s="61"/>
      <x:c r="C171" s="61"/>
      <x:c r="D171" s="61"/>
      <x:c r="E171" s="61"/>
      <x:c r="F171" s="61"/>
      <x:c r="G171" s="61"/>
      <x:c r="H171" s="61"/>
      <x:c r="I171" s="61"/>
      <x:c r="J171" s="61"/>
      <x:c r="K171" s="61"/>
      <x:c r="L171" s="61"/>
      <x:c r="M171" s="61"/>
      <x:c r="N171" s="61"/>
      <x:c r="O171" s="61"/>
      <x:c r="P171" s="61"/>
      <x:c r="Q171" s="61"/>
    </x:row>
    <x:row r="172">
      <x:c r="A172" s="61"/>
      <x:c r="B172" s="61"/>
      <x:c r="C172" s="61"/>
      <x:c r="D172" s="61"/>
      <x:c r="E172" s="61"/>
      <x:c r="F172" s="61"/>
      <x:c r="G172" s="61"/>
      <x:c r="H172" s="61"/>
      <x:c r="I172" s="61"/>
      <x:c r="J172" s="61"/>
      <x:c r="K172" s="61"/>
      <x:c r="L172" s="61"/>
      <x:c r="M172" s="61"/>
      <x:c r="N172" s="61"/>
      <x:c r="O172" s="61"/>
      <x:c r="P172" s="61"/>
      <x:c r="Q172" s="61"/>
    </x:row>
    <x:row r="173">
      <x:c r="A173" s="61"/>
      <x:c r="B173" s="61"/>
      <x:c r="C173" s="61"/>
      <x:c r="D173" s="61"/>
      <x:c r="E173" s="61"/>
      <x:c r="F173" s="61"/>
      <x:c r="G173" s="61"/>
      <x:c r="H173" s="61"/>
      <x:c r="I173" s="61"/>
      <x:c r="J173" s="61"/>
      <x:c r="K173" s="61"/>
      <x:c r="L173" s="61"/>
      <x:c r="M173" s="61"/>
      <x:c r="N173" s="61"/>
      <x:c r="O173" s="61"/>
      <x:c r="P173" s="61"/>
      <x:c r="Q173" s="61"/>
    </x:row>
    <x:row r="174">
      <x:c r="A174" s="61"/>
      <x:c r="B174" s="61"/>
      <x:c r="C174" s="61"/>
      <x:c r="D174" s="61"/>
      <x:c r="E174" s="61"/>
      <x:c r="F174" s="61"/>
      <x:c r="G174" s="61"/>
      <x:c r="H174" s="61"/>
      <x:c r="I174" s="61"/>
      <x:c r="J174" s="61"/>
      <x:c r="K174" s="61"/>
      <x:c r="L174" s="61"/>
      <x:c r="M174" s="61"/>
      <x:c r="N174" s="61"/>
      <x:c r="O174" s="61"/>
      <x:c r="P174" s="61"/>
      <x:c r="Q174" s="61"/>
    </x:row>
    <x:row r="175">
      <x:c r="A175" s="61"/>
      <x:c r="B175" s="61"/>
      <x:c r="C175" s="61"/>
      <x:c r="D175" s="61"/>
      <x:c r="E175" s="61"/>
      <x:c r="F175" s="61"/>
      <x:c r="G175" s="61"/>
      <x:c r="H175" s="61"/>
      <x:c r="I175" s="61"/>
      <x:c r="J175" s="61"/>
      <x:c r="K175" s="61"/>
      <x:c r="L175" s="61"/>
      <x:c r="M175" s="61"/>
      <x:c r="N175" s="61"/>
      <x:c r="O175" s="61"/>
      <x:c r="P175" s="61"/>
      <x:c r="Q175" s="61"/>
    </x:row>
    <x:row r="176">
      <x:c r="A176" s="61"/>
      <x:c r="B176" s="61"/>
      <x:c r="C176" s="61"/>
      <x:c r="D176" s="61"/>
      <x:c r="E176" s="61"/>
      <x:c r="F176" s="61"/>
      <x:c r="G176" s="61"/>
      <x:c r="H176" s="61"/>
      <x:c r="I176" s="61"/>
      <x:c r="J176" s="61"/>
      <x:c r="K176" s="61"/>
      <x:c r="L176" s="61"/>
      <x:c r="M176" s="61"/>
      <x:c r="N176" s="61"/>
      <x:c r="O176" s="61"/>
      <x:c r="P176" s="61"/>
      <x:c r="Q176" s="61"/>
    </x:row>
    <x:row r="177">
      <x:c r="A177" s="61"/>
      <x:c r="B177" s="61"/>
      <x:c r="C177" s="61"/>
      <x:c r="D177" s="61"/>
      <x:c r="E177" s="61"/>
      <x:c r="F177" s="61"/>
      <x:c r="G177" s="61"/>
      <x:c r="H177" s="61"/>
      <x:c r="I177" s="61"/>
      <x:c r="J177" s="61"/>
      <x:c r="K177" s="61"/>
      <x:c r="L177" s="61"/>
      <x:c r="M177" s="61"/>
      <x:c r="N177" s="61"/>
      <x:c r="O177" s="61"/>
      <x:c r="P177" s="61"/>
      <x:c r="Q177" s="61"/>
    </x:row>
    <x:row r="178">
      <x:c r="A178" s="61"/>
      <x:c r="B178" s="61"/>
      <x:c r="C178" s="61"/>
      <x:c r="D178" s="61"/>
      <x:c r="E178" s="61"/>
      <x:c r="F178" s="61"/>
      <x:c r="G178" s="61"/>
      <x:c r="H178" s="61"/>
      <x:c r="I178" s="61"/>
      <x:c r="J178" s="61"/>
      <x:c r="K178" s="61"/>
      <x:c r="L178" s="61"/>
      <x:c r="M178" s="61"/>
      <x:c r="N178" s="61"/>
      <x:c r="O178" s="61"/>
      <x:c r="P178" s="61"/>
      <x:c r="Q178" s="61"/>
    </x:row>
    <x:row r="179">
      <x:c r="A179" s="61"/>
      <x:c r="B179" s="61"/>
      <x:c r="C179" s="61"/>
      <x:c r="D179" s="61"/>
      <x:c r="E179" s="61"/>
      <x:c r="F179" s="61"/>
      <x:c r="G179" s="61"/>
      <x:c r="H179" s="61"/>
      <x:c r="I179" s="61"/>
      <x:c r="J179" s="61"/>
      <x:c r="K179" s="61"/>
      <x:c r="L179" s="61"/>
      <x:c r="M179" s="61"/>
      <x:c r="N179" s="61"/>
      <x:c r="O179" s="61"/>
      <x:c r="P179" s="61"/>
      <x:c r="Q179" s="61"/>
    </x:row>
    <x:row r="180">
      <x:c r="A180" s="61"/>
      <x:c r="B180" s="61"/>
      <x:c r="C180" s="61"/>
      <x:c r="D180" s="61"/>
      <x:c r="E180" s="61"/>
      <x:c r="F180" s="61"/>
      <x:c r="G180" s="61"/>
      <x:c r="H180" s="61"/>
      <x:c r="I180" s="61"/>
      <x:c r="J180" s="61"/>
      <x:c r="K180" s="61"/>
      <x:c r="L180" s="61"/>
      <x:c r="M180" s="61"/>
      <x:c r="N180" s="61"/>
      <x:c r="O180" s="61"/>
      <x:c r="P180" s="61"/>
      <x:c r="Q180" s="61"/>
    </x:row>
    <x:row r="181">
      <x:c r="A181" s="61"/>
      <x:c r="B181" s="61"/>
      <x:c r="C181" s="61"/>
      <x:c r="D181" s="61"/>
      <x:c r="E181" s="61"/>
      <x:c r="F181" s="61"/>
      <x:c r="G181" s="61"/>
      <x:c r="H181" s="61"/>
      <x:c r="I181" s="61"/>
      <x:c r="J181" s="61"/>
      <x:c r="K181" s="61"/>
      <x:c r="L181" s="61"/>
      <x:c r="M181" s="61"/>
      <x:c r="N181" s="61"/>
      <x:c r="O181" s="61"/>
      <x:c r="P181" s="61"/>
      <x:c r="Q181" s="61"/>
    </x:row>
    <x:row r="182">
      <x:c r="A182" s="61"/>
      <x:c r="B182" s="61"/>
      <x:c r="C182" s="61"/>
      <x:c r="D182" s="61"/>
      <x:c r="E182" s="61"/>
      <x:c r="F182" s="61"/>
      <x:c r="G182" s="61"/>
      <x:c r="H182" s="61"/>
      <x:c r="I182" s="61"/>
      <x:c r="J182" s="61"/>
      <x:c r="K182" s="61"/>
      <x:c r="L182" s="61"/>
      <x:c r="M182" s="61"/>
      <x:c r="N182" s="61"/>
      <x:c r="O182" s="61"/>
      <x:c r="P182" s="61"/>
      <x:c r="Q182" s="61"/>
    </x:row>
    <x:row r="183">
      <x:c r="A183" s="61"/>
      <x:c r="B183" s="61"/>
      <x:c r="C183" s="61"/>
      <x:c r="D183" s="61"/>
      <x:c r="E183" s="61"/>
      <x:c r="F183" s="61"/>
      <x:c r="G183" s="61"/>
      <x:c r="H183" s="61"/>
      <x:c r="I183" s="61"/>
      <x:c r="J183" s="61"/>
      <x:c r="K183" s="61"/>
      <x:c r="L183" s="61"/>
      <x:c r="M183" s="61"/>
      <x:c r="N183" s="61"/>
      <x:c r="O183" s="61"/>
      <x:c r="P183" s="61"/>
      <x:c r="Q183" s="61"/>
    </x:row>
    <x:row r="184">
      <x:c r="A184" s="61"/>
      <x:c r="B184" s="61"/>
      <x:c r="C184" s="61"/>
      <x:c r="D184" s="61"/>
      <x:c r="E184" s="61"/>
      <x:c r="F184" s="61"/>
      <x:c r="G184" s="61"/>
      <x:c r="H184" s="61"/>
      <x:c r="I184" s="61"/>
      <x:c r="J184" s="61"/>
      <x:c r="K184" s="61"/>
      <x:c r="L184" s="61"/>
      <x:c r="M184" s="61"/>
      <x:c r="N184" s="61"/>
      <x:c r="O184" s="61"/>
      <x:c r="P184" s="61"/>
      <x:c r="Q184" s="61"/>
    </x:row>
    <x:row r="185">
      <x:c r="A185" s="61"/>
      <x:c r="B185" s="61"/>
      <x:c r="C185" s="61"/>
      <x:c r="D185" s="61"/>
      <x:c r="E185" s="61"/>
      <x:c r="F185" s="61"/>
      <x:c r="G185" s="61"/>
      <x:c r="H185" s="61"/>
      <x:c r="I185" s="61"/>
      <x:c r="J185" s="61"/>
      <x:c r="K185" s="61"/>
      <x:c r="L185" s="61"/>
      <x:c r="M185" s="61"/>
      <x:c r="N185" s="61"/>
      <x:c r="O185" s="61"/>
      <x:c r="P185" s="61"/>
      <x:c r="Q185" s="61"/>
    </x:row>
    <x:row r="186">
      <x:c r="A186" s="61"/>
      <x:c r="B186" s="61"/>
      <x:c r="C186" s="61"/>
      <x:c r="D186" s="61"/>
      <x:c r="E186" s="61"/>
      <x:c r="F186" s="61"/>
      <x:c r="G186" s="61"/>
      <x:c r="H186" s="61"/>
      <x:c r="I186" s="61"/>
      <x:c r="J186" s="61"/>
      <x:c r="K186" s="61"/>
      <x:c r="L186" s="61"/>
      <x:c r="M186" s="61"/>
      <x:c r="N186" s="61"/>
      <x:c r="O186" s="61"/>
      <x:c r="P186" s="61"/>
      <x:c r="Q186" s="61"/>
    </x:row>
    <x:row r="187">
      <x:c r="A187" s="61"/>
      <x:c r="B187" s="61"/>
      <x:c r="C187" s="61"/>
      <x:c r="D187" s="61"/>
      <x:c r="E187" s="61"/>
      <x:c r="F187" s="61"/>
      <x:c r="G187" s="61"/>
      <x:c r="H187" s="61"/>
      <x:c r="I187" s="61"/>
      <x:c r="J187" s="61"/>
      <x:c r="K187" s="61"/>
      <x:c r="L187" s="61"/>
      <x:c r="M187" s="61"/>
      <x:c r="N187" s="61"/>
      <x:c r="O187" s="61"/>
      <x:c r="P187" s="61"/>
      <x:c r="Q187" s="61"/>
    </x:row>
    <x:row r="188">
      <x:c r="A188" s="61"/>
      <x:c r="B188" s="61"/>
      <x:c r="C188" s="61"/>
      <x:c r="D188" s="61"/>
      <x:c r="E188" s="61"/>
      <x:c r="F188" s="61"/>
      <x:c r="G188" s="61"/>
      <x:c r="H188" s="61"/>
      <x:c r="I188" s="61"/>
      <x:c r="J188" s="61"/>
      <x:c r="K188" s="61"/>
      <x:c r="L188" s="61"/>
      <x:c r="M188" s="61"/>
      <x:c r="N188" s="61"/>
      <x:c r="O188" s="61"/>
      <x:c r="P188" s="61"/>
      <x:c r="Q188" s="61"/>
    </x:row>
    <x:row r="189">
      <x:c r="A189" s="61"/>
      <x:c r="B189" s="61"/>
      <x:c r="C189" s="61"/>
      <x:c r="D189" s="61"/>
      <x:c r="E189" s="61"/>
      <x:c r="F189" s="61"/>
      <x:c r="G189" s="61"/>
      <x:c r="H189" s="61"/>
      <x:c r="I189" s="61"/>
      <x:c r="J189" s="61"/>
      <x:c r="K189" s="61"/>
      <x:c r="L189" s="61"/>
      <x:c r="M189" s="61"/>
      <x:c r="N189" s="61"/>
      <x:c r="O189" s="61"/>
      <x:c r="P189" s="61"/>
      <x:c r="Q189" s="61"/>
    </x:row>
    <x:row r="190">
      <x:c r="A190" s="61"/>
      <x:c r="B190" s="61"/>
      <x:c r="C190" s="61"/>
      <x:c r="D190" s="61"/>
      <x:c r="E190" s="61"/>
      <x:c r="F190" s="61"/>
      <x:c r="G190" s="61"/>
      <x:c r="H190" s="61"/>
      <x:c r="I190" s="61"/>
      <x:c r="J190" s="61"/>
      <x:c r="K190" s="61"/>
      <x:c r="L190" s="61"/>
      <x:c r="M190" s="61"/>
      <x:c r="N190" s="61"/>
      <x:c r="O190" s="61"/>
      <x:c r="P190" s="61"/>
      <x:c r="Q190" s="61"/>
    </x:row>
    <x:row r="191">
      <x:c r="A191" s="61"/>
      <x:c r="B191" s="61"/>
      <x:c r="C191" s="61"/>
      <x:c r="D191" s="61"/>
      <x:c r="E191" s="61"/>
      <x:c r="F191" s="61"/>
      <x:c r="G191" s="61"/>
      <x:c r="H191" s="61"/>
      <x:c r="I191" s="61"/>
      <x:c r="J191" s="61"/>
      <x:c r="K191" s="61"/>
      <x:c r="L191" s="61"/>
      <x:c r="M191" s="61"/>
      <x:c r="N191" s="61"/>
      <x:c r="O191" s="61"/>
      <x:c r="P191" s="61"/>
      <x:c r="Q191" s="61"/>
    </x:row>
    <x:row r="192">
      <x:c r="A192" s="61"/>
      <x:c r="B192" s="61"/>
      <x:c r="C192" s="61"/>
      <x:c r="D192" s="61"/>
      <x:c r="E192" s="61"/>
      <x:c r="F192" s="61"/>
      <x:c r="G192" s="61"/>
      <x:c r="H192" s="61"/>
      <x:c r="I192" s="61"/>
      <x:c r="J192" s="61"/>
      <x:c r="K192" s="61"/>
      <x:c r="L192" s="61"/>
      <x:c r="M192" s="61"/>
      <x:c r="N192" s="61"/>
      <x:c r="O192" s="61"/>
      <x:c r="P192" s="61"/>
      <x:c r="Q192" s="61"/>
    </x:row>
    <x:row r="193">
      <x:c r="A193" s="61"/>
      <x:c r="B193" s="61"/>
      <x:c r="C193" s="61"/>
      <x:c r="D193" s="61"/>
      <x:c r="E193" s="61"/>
      <x:c r="F193" s="61"/>
      <x:c r="G193" s="61"/>
      <x:c r="H193" s="61"/>
      <x:c r="I193" s="61"/>
      <x:c r="J193" s="61"/>
      <x:c r="K193" s="61"/>
      <x:c r="L193" s="61"/>
      <x:c r="M193" s="61"/>
      <x:c r="N193" s="61"/>
      <x:c r="O193" s="61"/>
      <x:c r="P193" s="61"/>
      <x:c r="Q193" s="61"/>
    </x:row>
    <x:row r="194">
      <x:c r="A194" s="61"/>
      <x:c r="B194" s="61"/>
      <x:c r="C194" s="61"/>
      <x:c r="D194" s="61"/>
      <x:c r="E194" s="61"/>
      <x:c r="F194" s="61"/>
      <x:c r="G194" s="61"/>
      <x:c r="H194" s="61"/>
      <x:c r="I194" s="61"/>
      <x:c r="J194" s="61"/>
      <x:c r="K194" s="61"/>
      <x:c r="L194" s="61"/>
      <x:c r="M194" s="61"/>
      <x:c r="N194" s="61"/>
      <x:c r="O194" s="61"/>
      <x:c r="P194" s="61"/>
      <x:c r="Q194" s="61"/>
    </x:row>
    <x:row r="195">
      <x:c r="A195" s="61"/>
      <x:c r="B195" s="61"/>
      <x:c r="C195" s="61"/>
      <x:c r="D195" s="61"/>
      <x:c r="E195" s="61"/>
      <x:c r="F195" s="61"/>
      <x:c r="G195" s="61"/>
      <x:c r="H195" s="61"/>
      <x:c r="I195" s="61"/>
      <x:c r="J195" s="61"/>
      <x:c r="K195" s="61"/>
      <x:c r="L195" s="61"/>
      <x:c r="M195" s="61"/>
      <x:c r="N195" s="61"/>
      <x:c r="O195" s="61"/>
      <x:c r="P195" s="61"/>
      <x:c r="Q195" s="61"/>
    </x:row>
    <x:row r="196">
      <x:c r="A196" s="61"/>
      <x:c r="B196" s="61"/>
      <x:c r="C196" s="61"/>
      <x:c r="D196" s="61"/>
      <x:c r="E196" s="61"/>
      <x:c r="F196" s="61"/>
      <x:c r="G196" s="61"/>
      <x:c r="H196" s="61"/>
      <x:c r="I196" s="61"/>
      <x:c r="J196" s="61"/>
      <x:c r="K196" s="61"/>
      <x:c r="L196" s="61"/>
      <x:c r="M196" s="61"/>
      <x:c r="N196" s="61"/>
      <x:c r="O196" s="61"/>
      <x:c r="P196" s="61"/>
      <x:c r="Q196" s="61"/>
    </x:row>
    <x:row r="197">
      <x:c r="A197" s="61"/>
      <x:c r="B197" s="61"/>
      <x:c r="C197" s="61"/>
      <x:c r="D197" s="61"/>
      <x:c r="E197" s="61"/>
      <x:c r="F197" s="61"/>
      <x:c r="G197" s="61"/>
      <x:c r="H197" s="61"/>
      <x:c r="I197" s="61"/>
      <x:c r="J197" s="61"/>
      <x:c r="K197" s="61"/>
      <x:c r="L197" s="61"/>
      <x:c r="M197" s="61"/>
      <x:c r="N197" s="61"/>
      <x:c r="O197" s="61"/>
      <x:c r="P197" s="61"/>
      <x:c r="Q197" s="61"/>
    </x:row>
    <x:row r="198">
      <x:c r="A198" s="61"/>
      <x:c r="B198" s="61"/>
      <x:c r="C198" s="61"/>
      <x:c r="D198" s="61"/>
      <x:c r="E198" s="61"/>
      <x:c r="F198" s="61"/>
      <x:c r="G198" s="61"/>
      <x:c r="H198" s="61"/>
      <x:c r="I198" s="61"/>
      <x:c r="J198" s="61"/>
      <x:c r="K198" s="61"/>
      <x:c r="L198" s="61"/>
      <x:c r="M198" s="61"/>
      <x:c r="N198" s="61"/>
      <x:c r="O198" s="61"/>
      <x:c r="P198" s="61"/>
      <x:c r="Q198" s="61"/>
    </x:row>
    <x:row r="199">
      <x:c r="A199" s="61"/>
      <x:c r="B199" s="61"/>
      <x:c r="C199" s="61"/>
      <x:c r="D199" s="61"/>
      <x:c r="E199" s="61"/>
      <x:c r="F199" s="61"/>
      <x:c r="G199" s="61"/>
      <x:c r="H199" s="61"/>
      <x:c r="I199" s="61"/>
      <x:c r="J199" s="61"/>
      <x:c r="K199" s="61"/>
      <x:c r="L199" s="61"/>
      <x:c r="M199" s="61"/>
      <x:c r="N199" s="61"/>
      <x:c r="O199" s="61"/>
      <x:c r="P199" s="61"/>
      <x:c r="Q199" s="61"/>
    </x:row>
    <x:row r="200">
      <x:c r="A200" s="61"/>
      <x:c r="B200" s="61"/>
      <x:c r="C200" s="61"/>
      <x:c r="D200" s="61"/>
      <x:c r="E200" s="61"/>
      <x:c r="F200" s="61"/>
      <x:c r="G200" s="61"/>
      <x:c r="H200" s="61"/>
      <x:c r="I200" s="61"/>
      <x:c r="J200" s="61"/>
      <x:c r="K200" s="61"/>
      <x:c r="L200" s="61"/>
      <x:c r="M200" s="61"/>
      <x:c r="N200" s="61"/>
      <x:c r="O200" s="61"/>
      <x:c r="P200" s="61"/>
      <x:c r="Q200" s="61"/>
    </x:row>
    <x:row r="201">
      <x:c r="A201" s="61"/>
      <x:c r="B201" s="61"/>
      <x:c r="C201" s="61"/>
      <x:c r="D201" s="61"/>
      <x:c r="E201" s="61"/>
      <x:c r="F201" s="61"/>
      <x:c r="G201" s="61"/>
      <x:c r="H201" s="61"/>
      <x:c r="I201" s="61"/>
      <x:c r="J201" s="61"/>
      <x:c r="K201" s="61"/>
      <x:c r="L201" s="61"/>
      <x:c r="M201" s="61"/>
      <x:c r="N201" s="61"/>
      <x:c r="O201" s="61"/>
      <x:c r="P201" s="61"/>
      <x:c r="Q201" s="61"/>
    </x:row>
    <x:row r="202">
      <x:c r="A202" s="61"/>
      <x:c r="B202" s="61"/>
      <x:c r="C202" s="61"/>
      <x:c r="D202" s="61"/>
      <x:c r="E202" s="61"/>
      <x:c r="F202" s="61"/>
      <x:c r="G202" s="61"/>
      <x:c r="H202" s="61"/>
      <x:c r="I202" s="61"/>
      <x:c r="J202" s="61"/>
      <x:c r="K202" s="61"/>
      <x:c r="L202" s="61"/>
      <x:c r="M202" s="61"/>
      <x:c r="N202" s="61"/>
      <x:c r="O202" s="61"/>
      <x:c r="P202" s="61"/>
      <x:c r="Q202" s="61"/>
    </x:row>
    <x:row r="203">
      <x:c r="A203" s="61"/>
      <x:c r="B203" s="61"/>
      <x:c r="C203" s="61"/>
      <x:c r="D203" s="61"/>
      <x:c r="E203" s="61"/>
      <x:c r="F203" s="61"/>
      <x:c r="G203" s="61"/>
      <x:c r="H203" s="61"/>
      <x:c r="I203" s="61"/>
      <x:c r="J203" s="61"/>
      <x:c r="K203" s="61"/>
      <x:c r="L203" s="61"/>
      <x:c r="M203" s="61"/>
      <x:c r="N203" s="61"/>
      <x:c r="O203" s="61"/>
      <x:c r="P203" s="61"/>
      <x:c r="Q203" s="61"/>
    </x:row>
    <x:row r="204">
      <x:c r="A204" s="61"/>
      <x:c r="B204" s="61"/>
      <x:c r="C204" s="61"/>
      <x:c r="D204" s="61"/>
      <x:c r="E204" s="61"/>
      <x:c r="F204" s="61"/>
      <x:c r="G204" s="61"/>
      <x:c r="H204" s="61"/>
      <x:c r="I204" s="61"/>
      <x:c r="J204" s="61"/>
      <x:c r="K204" s="61"/>
      <x:c r="L204" s="61"/>
      <x:c r="M204" s="61"/>
      <x:c r="N204" s="61"/>
      <x:c r="O204" s="61"/>
      <x:c r="P204" s="61"/>
      <x:c r="Q204" s="61"/>
    </x:row>
    <x:row r="205">
      <x:c r="A205" s="61"/>
      <x:c r="B205" s="61"/>
      <x:c r="C205" s="61"/>
      <x:c r="D205" s="61"/>
      <x:c r="E205" s="61"/>
      <x:c r="F205" s="61"/>
      <x:c r="G205" s="61"/>
      <x:c r="H205" s="61"/>
      <x:c r="I205" s="61"/>
      <x:c r="J205" s="61"/>
      <x:c r="K205" s="61"/>
      <x:c r="L205" s="61"/>
      <x:c r="M205" s="61"/>
      <x:c r="N205" s="61"/>
      <x:c r="O205" s="61"/>
      <x:c r="P205" s="61"/>
      <x:c r="Q205" s="61"/>
    </x:row>
    <x:row r="206">
      <x:c r="A206" s="61"/>
      <x:c r="B206" s="61"/>
      <x:c r="C206" s="61"/>
      <x:c r="D206" s="61"/>
      <x:c r="E206" s="61"/>
      <x:c r="F206" s="61"/>
      <x:c r="G206" s="61"/>
      <x:c r="H206" s="61"/>
      <x:c r="I206" s="61"/>
      <x:c r="J206" s="61"/>
      <x:c r="K206" s="61"/>
      <x:c r="L206" s="61"/>
      <x:c r="M206" s="61"/>
      <x:c r="N206" s="61"/>
      <x:c r="O206" s="61"/>
      <x:c r="P206" s="61"/>
      <x:c r="Q206" s="61"/>
    </x:row>
    <x:row r="207">
      <x:c r="A207" s="61"/>
      <x:c r="B207" s="61"/>
      <x:c r="C207" s="61"/>
      <x:c r="D207" s="61"/>
      <x:c r="E207" s="61"/>
      <x:c r="F207" s="61"/>
      <x:c r="G207" s="61"/>
      <x:c r="H207" s="61"/>
      <x:c r="I207" s="61"/>
      <x:c r="J207" s="61"/>
      <x:c r="K207" s="61"/>
      <x:c r="L207" s="61"/>
      <x:c r="M207" s="61"/>
      <x:c r="N207" s="61"/>
      <x:c r="O207" s="61"/>
      <x:c r="P207" s="61"/>
      <x:c r="Q207" s="61"/>
    </x:row>
    <x:row r="208">
      <x:c r="A208" s="61"/>
      <x:c r="B208" s="61"/>
      <x:c r="C208" s="61"/>
      <x:c r="D208" s="61"/>
      <x:c r="E208" s="61"/>
      <x:c r="F208" s="61"/>
      <x:c r="G208" s="61"/>
      <x:c r="H208" s="61"/>
      <x:c r="I208" s="61"/>
      <x:c r="J208" s="61"/>
      <x:c r="K208" s="61"/>
      <x:c r="L208" s="61"/>
      <x:c r="M208" s="61"/>
      <x:c r="N208" s="61"/>
      <x:c r="O208" s="61"/>
      <x:c r="P208" s="61"/>
      <x:c r="Q208" s="61"/>
    </x:row>
    <x:row r="209">
      <x:c r="A209" s="61"/>
      <x:c r="B209" s="61"/>
      <x:c r="C209" s="61"/>
      <x:c r="D209" s="61"/>
      <x:c r="E209" s="61"/>
      <x:c r="F209" s="61"/>
      <x:c r="G209" s="61"/>
      <x:c r="H209" s="61"/>
      <x:c r="I209" s="61"/>
      <x:c r="J209" s="61"/>
      <x:c r="K209" s="61"/>
      <x:c r="L209" s="61"/>
      <x:c r="M209" s="61"/>
      <x:c r="N209" s="61"/>
      <x:c r="O209" s="61"/>
      <x:c r="P209" s="61"/>
      <x:c r="Q209" s="61"/>
    </x:row>
    <x:row r="210">
      <x:c r="A210" s="61"/>
      <x:c r="B210" s="61"/>
      <x:c r="C210" s="61"/>
      <x:c r="D210" s="61"/>
      <x:c r="E210" s="61"/>
      <x:c r="F210" s="61"/>
      <x:c r="G210" s="61"/>
      <x:c r="H210" s="61"/>
      <x:c r="I210" s="61"/>
      <x:c r="J210" s="61"/>
      <x:c r="K210" s="61"/>
      <x:c r="L210" s="61"/>
      <x:c r="M210" s="61"/>
      <x:c r="N210" s="61"/>
      <x:c r="O210" s="61"/>
      <x:c r="P210" s="61"/>
      <x:c r="Q210" s="61"/>
    </x:row>
    <x:row r="211">
      <x:c r="A211" s="61"/>
      <x:c r="B211" s="61"/>
      <x:c r="C211" s="61"/>
      <x:c r="D211" s="61"/>
      <x:c r="E211" s="61"/>
      <x:c r="F211" s="61"/>
      <x:c r="G211" s="61"/>
      <x:c r="H211" s="61"/>
      <x:c r="I211" s="61"/>
      <x:c r="J211" s="61"/>
      <x:c r="K211" s="61"/>
      <x:c r="L211" s="61"/>
      <x:c r="M211" s="61"/>
      <x:c r="N211" s="61"/>
      <x:c r="O211" s="61"/>
      <x:c r="P211" s="61"/>
      <x:c r="Q211" s="61"/>
    </x:row>
    <x:row r="212">
      <x:c r="A212" s="61"/>
      <x:c r="B212" s="61"/>
      <x:c r="C212" s="61"/>
      <x:c r="D212" s="61"/>
      <x:c r="E212" s="61"/>
      <x:c r="F212" s="61"/>
      <x:c r="G212" s="61"/>
      <x:c r="H212" s="61"/>
      <x:c r="I212" s="61"/>
      <x:c r="J212" s="61"/>
      <x:c r="K212" s="61"/>
      <x:c r="L212" s="61"/>
      <x:c r="M212" s="61"/>
      <x:c r="N212" s="61"/>
      <x:c r="O212" s="61"/>
      <x:c r="P212" s="61"/>
      <x:c r="Q212" s="61"/>
    </x:row>
    <x:row r="213">
      <x:c r="A213" s="61"/>
      <x:c r="B213" s="61"/>
      <x:c r="C213" s="61"/>
      <x:c r="D213" s="61"/>
      <x:c r="E213" s="61"/>
      <x:c r="F213" s="61"/>
      <x:c r="G213" s="61"/>
      <x:c r="H213" s="61"/>
      <x:c r="I213" s="61"/>
      <x:c r="J213" s="61"/>
      <x:c r="K213" s="61"/>
      <x:c r="L213" s="61"/>
      <x:c r="M213" s="61"/>
      <x:c r="N213" s="61"/>
      <x:c r="O213" s="61"/>
      <x:c r="P213" s="61"/>
      <x:c r="Q213" s="61"/>
    </x:row>
    <x:row r="214">
      <x:c r="A214" s="61"/>
      <x:c r="B214" s="61"/>
      <x:c r="C214" s="61"/>
      <x:c r="D214" s="61"/>
      <x:c r="E214" s="61"/>
      <x:c r="F214" s="61"/>
      <x:c r="G214" s="61"/>
      <x:c r="H214" s="61"/>
      <x:c r="I214" s="61"/>
      <x:c r="J214" s="61"/>
      <x:c r="K214" s="61"/>
      <x:c r="L214" s="61"/>
      <x:c r="M214" s="61"/>
      <x:c r="N214" s="61"/>
      <x:c r="O214" s="61"/>
      <x:c r="P214" s="61"/>
      <x:c r="Q214" s="61"/>
    </x:row>
    <x:row r="215">
      <x:c r="A215" s="61"/>
      <x:c r="B215" s="61"/>
      <x:c r="C215" s="61"/>
      <x:c r="D215" s="61"/>
      <x:c r="E215" s="61"/>
      <x:c r="F215" s="61"/>
      <x:c r="G215" s="61"/>
      <x:c r="H215" s="61"/>
      <x:c r="I215" s="61"/>
      <x:c r="J215" s="61"/>
      <x:c r="K215" s="61"/>
      <x:c r="L215" s="61"/>
      <x:c r="M215" s="61"/>
      <x:c r="N215" s="61"/>
      <x:c r="O215" s="61"/>
      <x:c r="P215" s="61"/>
      <x:c r="Q215" s="61"/>
    </x:row>
    <x:row r="216">
      <x:c r="A216" s="61"/>
      <x:c r="B216" s="61"/>
      <x:c r="C216" s="61"/>
      <x:c r="D216" s="61"/>
      <x:c r="E216" s="61"/>
      <x:c r="F216" s="61"/>
      <x:c r="G216" s="61"/>
      <x:c r="H216" s="61"/>
      <x:c r="I216" s="61"/>
      <x:c r="J216" s="61"/>
      <x:c r="K216" s="61"/>
      <x:c r="L216" s="61"/>
      <x:c r="M216" s="61"/>
      <x:c r="N216" s="61"/>
      <x:c r="O216" s="61"/>
      <x:c r="P216" s="61"/>
      <x:c r="Q216" s="61"/>
    </x:row>
    <x:row r="217">
      <x:c r="A217" s="61"/>
      <x:c r="B217" s="61"/>
      <x:c r="C217" s="61"/>
      <x:c r="D217" s="61"/>
      <x:c r="E217" s="61"/>
      <x:c r="F217" s="61"/>
      <x:c r="G217" s="61"/>
      <x:c r="H217" s="61"/>
      <x:c r="I217" s="61"/>
      <x:c r="J217" s="61"/>
      <x:c r="K217" s="61"/>
      <x:c r="L217" s="61"/>
      <x:c r="M217" s="61"/>
      <x:c r="N217" s="61"/>
      <x:c r="O217" s="61"/>
      <x:c r="P217" s="61"/>
      <x:c r="Q217" s="61"/>
    </x:row>
    <x:row r="218">
      <x:c r="A218" s="61"/>
      <x:c r="B218" s="61"/>
      <x:c r="C218" s="61"/>
      <x:c r="D218" s="61"/>
      <x:c r="E218" s="61"/>
      <x:c r="F218" s="61"/>
      <x:c r="G218" s="61"/>
      <x:c r="H218" s="61"/>
      <x:c r="I218" s="61"/>
      <x:c r="J218" s="61"/>
      <x:c r="K218" s="61"/>
      <x:c r="L218" s="61"/>
      <x:c r="M218" s="61"/>
      <x:c r="N218" s="61"/>
      <x:c r="O218" s="61"/>
      <x:c r="P218" s="61"/>
      <x:c r="Q218" s="61"/>
    </x:row>
    <x:row r="219">
      <x:c r="A219" s="61"/>
      <x:c r="B219" s="61"/>
      <x:c r="C219" s="61"/>
      <x:c r="D219" s="61"/>
      <x:c r="E219" s="61"/>
      <x:c r="F219" s="61"/>
      <x:c r="G219" s="61"/>
      <x:c r="H219" s="61"/>
      <x:c r="I219" s="61"/>
      <x:c r="J219" s="61"/>
      <x:c r="K219" s="61"/>
      <x:c r="L219" s="61"/>
      <x:c r="M219" s="61"/>
      <x:c r="N219" s="61"/>
      <x:c r="O219" s="61"/>
      <x:c r="P219" s="61"/>
      <x:c r="Q219" s="61"/>
    </x:row>
    <x:row r="220">
      <x:c r="A220" s="61"/>
      <x:c r="B220" s="61"/>
      <x:c r="C220" s="61"/>
      <x:c r="D220" s="61"/>
      <x:c r="E220" s="61"/>
      <x:c r="F220" s="61"/>
      <x:c r="G220" s="61"/>
      <x:c r="H220" s="61"/>
      <x:c r="I220" s="61"/>
      <x:c r="J220" s="61"/>
      <x:c r="K220" s="61"/>
      <x:c r="L220" s="61"/>
      <x:c r="M220" s="61"/>
      <x:c r="N220" s="61"/>
      <x:c r="O220" s="61"/>
      <x:c r="P220" s="61"/>
      <x:c r="Q220" s="61"/>
    </x:row>
    <x:row r="221">
      <x:c r="A221" s="61"/>
      <x:c r="B221" s="61"/>
      <x:c r="C221" s="61"/>
      <x:c r="D221" s="61"/>
      <x:c r="E221" s="61"/>
      <x:c r="F221" s="61"/>
      <x:c r="G221" s="61"/>
      <x:c r="H221" s="61"/>
      <x:c r="I221" s="61"/>
      <x:c r="J221" s="61"/>
      <x:c r="K221" s="61"/>
      <x:c r="L221" s="61"/>
      <x:c r="M221" s="61"/>
      <x:c r="N221" s="61"/>
      <x:c r="O221" s="61"/>
      <x:c r="P221" s="61"/>
      <x:c r="Q221" s="61"/>
    </x:row>
    <x:row r="222">
      <x:c r="A222" s="61"/>
      <x:c r="B222" s="61"/>
      <x:c r="C222" s="61"/>
      <x:c r="D222" s="61"/>
      <x:c r="E222" s="61"/>
      <x:c r="F222" s="61"/>
      <x:c r="G222" s="61"/>
      <x:c r="H222" s="61"/>
      <x:c r="I222" s="61"/>
      <x:c r="J222" s="61"/>
      <x:c r="K222" s="61"/>
      <x:c r="L222" s="61"/>
      <x:c r="M222" s="61"/>
      <x:c r="N222" s="61"/>
      <x:c r="O222" s="61"/>
      <x:c r="P222" s="61"/>
      <x:c r="Q222" s="61"/>
    </x:row>
    <x:row r="223">
      <x:c r="A223" s="61"/>
      <x:c r="B223" s="61"/>
      <x:c r="C223" s="61"/>
      <x:c r="D223" s="61"/>
      <x:c r="E223" s="61"/>
      <x:c r="F223" s="61"/>
      <x:c r="G223" s="61"/>
      <x:c r="H223" s="61"/>
      <x:c r="I223" s="61"/>
      <x:c r="J223" s="61"/>
      <x:c r="K223" s="61"/>
      <x:c r="L223" s="61"/>
      <x:c r="M223" s="61"/>
      <x:c r="N223" s="61"/>
      <x:c r="O223" s="61"/>
      <x:c r="P223" s="61"/>
      <x:c r="Q223" s="61"/>
    </x:row>
    <x:row r="224">
      <x:c r="A224" s="61"/>
      <x:c r="B224" s="61"/>
      <x:c r="C224" s="61"/>
      <x:c r="D224" s="61"/>
      <x:c r="E224" s="61"/>
      <x:c r="F224" s="61"/>
      <x:c r="G224" s="61"/>
      <x:c r="H224" s="61"/>
      <x:c r="I224" s="61"/>
      <x:c r="J224" s="61"/>
      <x:c r="K224" s="61"/>
      <x:c r="L224" s="61"/>
      <x:c r="M224" s="61"/>
      <x:c r="N224" s="61"/>
      <x:c r="O224" s="61"/>
      <x:c r="P224" s="61"/>
      <x:c r="Q224" s="61"/>
    </x:row>
    <x:row r="225">
      <x:c r="A225" s="61"/>
      <x:c r="B225" s="61"/>
      <x:c r="C225" s="61"/>
      <x:c r="D225" s="61"/>
      <x:c r="E225" s="61"/>
      <x:c r="F225" s="61"/>
      <x:c r="G225" s="61"/>
      <x:c r="H225" s="61"/>
      <x:c r="I225" s="61"/>
      <x:c r="J225" s="61"/>
      <x:c r="K225" s="61"/>
      <x:c r="L225" s="61"/>
      <x:c r="M225" s="61"/>
      <x:c r="N225" s="61"/>
      <x:c r="O225" s="61"/>
      <x:c r="P225" s="61"/>
      <x:c r="Q225" s="61"/>
    </x:row>
    <x:row r="226">
      <x:c r="A226" s="61"/>
      <x:c r="B226" s="61"/>
      <x:c r="C226" s="61"/>
      <x:c r="D226" s="61"/>
      <x:c r="E226" s="61"/>
      <x:c r="F226" s="61"/>
      <x:c r="G226" s="61"/>
      <x:c r="H226" s="61"/>
      <x:c r="I226" s="61"/>
      <x:c r="J226" s="61"/>
      <x:c r="K226" s="61"/>
      <x:c r="L226" s="61"/>
      <x:c r="M226" s="61"/>
      <x:c r="N226" s="61"/>
      <x:c r="O226" s="61"/>
      <x:c r="P226" s="61"/>
      <x:c r="Q226" s="61"/>
    </x:row>
    <x:row r="227">
      <x:c r="A227" s="61"/>
      <x:c r="B227" s="61"/>
      <x:c r="C227" s="61"/>
      <x:c r="D227" s="61"/>
      <x:c r="E227" s="61"/>
      <x:c r="F227" s="61"/>
      <x:c r="G227" s="61"/>
      <x:c r="H227" s="61"/>
      <x:c r="I227" s="61"/>
      <x:c r="J227" s="61"/>
      <x:c r="K227" s="61"/>
      <x:c r="L227" s="61"/>
      <x:c r="M227" s="61"/>
      <x:c r="N227" s="61"/>
      <x:c r="O227" s="61"/>
      <x:c r="P227" s="61"/>
      <x:c r="Q227" s="61"/>
    </x:row>
    <x:row r="228">
      <x:c r="A228" s="61"/>
      <x:c r="B228" s="61"/>
      <x:c r="C228" s="61"/>
      <x:c r="D228" s="61"/>
      <x:c r="E228" s="61"/>
      <x:c r="F228" s="61"/>
      <x:c r="G228" s="61"/>
      <x:c r="H228" s="61"/>
      <x:c r="I228" s="61"/>
      <x:c r="J228" s="61"/>
      <x:c r="K228" s="61"/>
      <x:c r="L228" s="61"/>
      <x:c r="M228" s="61"/>
      <x:c r="N228" s="61"/>
      <x:c r="O228" s="61"/>
      <x:c r="P228" s="61"/>
      <x:c r="Q228" s="61"/>
    </x:row>
    <x:row r="229">
      <x:c r="A229" s="61"/>
      <x:c r="B229" s="61"/>
      <x:c r="C229" s="61"/>
      <x:c r="D229" s="61"/>
      <x:c r="E229" s="61"/>
      <x:c r="F229" s="61"/>
      <x:c r="G229" s="61"/>
      <x:c r="H229" s="61"/>
      <x:c r="I229" s="61"/>
      <x:c r="J229" s="61"/>
      <x:c r="K229" s="61"/>
      <x:c r="L229" s="61"/>
      <x:c r="M229" s="61"/>
      <x:c r="N229" s="61"/>
      <x:c r="O229" s="61"/>
      <x:c r="P229" s="61"/>
      <x:c r="Q229" s="61"/>
    </x:row>
    <x:row r="230">
      <x:c r="A230" s="61"/>
      <x:c r="B230" s="61"/>
      <x:c r="C230" s="61"/>
      <x:c r="D230" s="61"/>
      <x:c r="E230" s="61"/>
      <x:c r="F230" s="61"/>
      <x:c r="G230" s="61"/>
      <x:c r="H230" s="61"/>
      <x:c r="I230" s="61"/>
      <x:c r="J230" s="61"/>
      <x:c r="K230" s="61"/>
      <x:c r="L230" s="61"/>
      <x:c r="M230" s="61"/>
      <x:c r="N230" s="61"/>
      <x:c r="O230" s="61"/>
      <x:c r="P230" s="61"/>
      <x:c r="Q230" s="61"/>
    </x:row>
    <x:row r="231">
      <x:c r="A231" s="61"/>
      <x:c r="B231" s="61"/>
      <x:c r="C231" s="61"/>
      <x:c r="D231" s="61"/>
      <x:c r="E231" s="61"/>
      <x:c r="F231" s="61"/>
      <x:c r="G231" s="61"/>
      <x:c r="H231" s="61"/>
      <x:c r="I231" s="61"/>
      <x:c r="J231" s="61"/>
      <x:c r="K231" s="61"/>
      <x:c r="L231" s="61"/>
      <x:c r="M231" s="61"/>
      <x:c r="N231" s="61"/>
      <x:c r="O231" s="61"/>
      <x:c r="P231" s="61"/>
      <x:c r="Q231" s="61"/>
    </x:row>
    <x:row r="232">
      <x:c r="A232" s="61"/>
      <x:c r="B232" s="61"/>
      <x:c r="C232" s="61"/>
      <x:c r="D232" s="61"/>
      <x:c r="E232" s="61"/>
      <x:c r="F232" s="61"/>
      <x:c r="G232" s="61"/>
      <x:c r="H232" s="61"/>
      <x:c r="I232" s="61"/>
      <x:c r="J232" s="61"/>
      <x:c r="K232" s="61"/>
      <x:c r="L232" s="61"/>
      <x:c r="M232" s="61"/>
      <x:c r="N232" s="61"/>
      <x:c r="O232" s="61"/>
      <x:c r="P232" s="61"/>
      <x:c r="Q232" s="61"/>
    </x:row>
    <x:row r="233">
      <x:c r="A233" s="61"/>
      <x:c r="B233" s="61"/>
      <x:c r="C233" s="61"/>
      <x:c r="D233" s="61"/>
      <x:c r="E233" s="61"/>
      <x:c r="F233" s="61"/>
      <x:c r="G233" s="61"/>
      <x:c r="H233" s="61"/>
      <x:c r="I233" s="61"/>
      <x:c r="J233" s="61"/>
      <x:c r="K233" s="61"/>
      <x:c r="L233" s="61"/>
      <x:c r="M233" s="61"/>
      <x:c r="N233" s="61"/>
      <x:c r="O233" s="61"/>
      <x:c r="P233" s="61"/>
      <x:c r="Q233" s="61"/>
    </x:row>
    <x:row r="234">
      <x:c r="A234" s="61"/>
      <x:c r="B234" s="61"/>
      <x:c r="C234" s="61"/>
      <x:c r="D234" s="61"/>
      <x:c r="E234" s="61"/>
      <x:c r="F234" s="61"/>
      <x:c r="G234" s="61"/>
      <x:c r="H234" s="61"/>
      <x:c r="I234" s="61"/>
      <x:c r="J234" s="61"/>
      <x:c r="K234" s="61"/>
      <x:c r="L234" s="61"/>
      <x:c r="M234" s="61"/>
      <x:c r="N234" s="61"/>
      <x:c r="O234" s="61"/>
      <x:c r="P234" s="61"/>
      <x:c r="Q234" s="61"/>
    </x:row>
    <x:row r="235">
      <x:c r="A235" s="61"/>
      <x:c r="B235" s="61"/>
      <x:c r="C235" s="61"/>
      <x:c r="D235" s="61"/>
      <x:c r="E235" s="61"/>
      <x:c r="F235" s="61"/>
      <x:c r="G235" s="61"/>
      <x:c r="H235" s="61"/>
      <x:c r="I235" s="61"/>
      <x:c r="J235" s="61"/>
      <x:c r="K235" s="61"/>
      <x:c r="L235" s="61"/>
      <x:c r="M235" s="61"/>
      <x:c r="N235" s="61"/>
      <x:c r="O235" s="61"/>
      <x:c r="P235" s="61"/>
      <x:c r="Q235" s="61"/>
    </x:row>
    <x:row r="236">
      <x:c r="A236" s="61"/>
      <x:c r="B236" s="61"/>
      <x:c r="C236" s="61"/>
      <x:c r="D236" s="61"/>
      <x:c r="E236" s="61"/>
      <x:c r="F236" s="61"/>
      <x:c r="G236" s="61"/>
      <x:c r="H236" s="61"/>
      <x:c r="I236" s="61"/>
      <x:c r="J236" s="61"/>
      <x:c r="K236" s="61"/>
      <x:c r="L236" s="61"/>
      <x:c r="M236" s="61"/>
      <x:c r="N236" s="61"/>
      <x:c r="O236" s="61"/>
      <x:c r="P236" s="61"/>
      <x:c r="Q236" s="61"/>
    </x:row>
    <x:row r="237">
      <x:c r="A237" s="61"/>
      <x:c r="B237" s="61"/>
      <x:c r="C237" s="61"/>
      <x:c r="D237" s="61"/>
      <x:c r="E237" s="61"/>
      <x:c r="F237" s="61"/>
      <x:c r="G237" s="61"/>
      <x:c r="H237" s="61"/>
      <x:c r="I237" s="61"/>
      <x:c r="J237" s="61"/>
      <x:c r="K237" s="61"/>
      <x:c r="L237" s="61"/>
      <x:c r="M237" s="61"/>
      <x:c r="N237" s="61"/>
      <x:c r="O237" s="61"/>
      <x:c r="P237" s="61"/>
      <x:c r="Q237" s="61"/>
    </x:row>
    <x:row r="238">
      <x:c r="A238" s="61"/>
      <x:c r="B238" s="61"/>
      <x:c r="C238" s="61"/>
      <x:c r="D238" s="61"/>
      <x:c r="E238" s="61"/>
      <x:c r="F238" s="61"/>
      <x:c r="G238" s="61"/>
      <x:c r="H238" s="61"/>
      <x:c r="I238" s="61"/>
      <x:c r="J238" s="61"/>
      <x:c r="K238" s="61"/>
      <x:c r="L238" s="61"/>
      <x:c r="M238" s="61"/>
      <x:c r="N238" s="61"/>
      <x:c r="O238" s="61"/>
      <x:c r="P238" s="61"/>
      <x:c r="Q238" s="61"/>
    </x:row>
    <x:row r="239">
      <x:c r="A239" s="61"/>
      <x:c r="B239" s="61"/>
      <x:c r="C239" s="61"/>
      <x:c r="D239" s="61"/>
      <x:c r="E239" s="61"/>
      <x:c r="F239" s="61"/>
      <x:c r="G239" s="61"/>
      <x:c r="H239" s="61"/>
      <x:c r="I239" s="61"/>
      <x:c r="J239" s="61"/>
      <x:c r="K239" s="61"/>
      <x:c r="L239" s="61"/>
      <x:c r="M239" s="61"/>
      <x:c r="N239" s="61"/>
      <x:c r="O239" s="61"/>
      <x:c r="P239" s="61"/>
      <x:c r="Q239" s="61"/>
    </x:row>
    <x:row r="240">
      <x:c r="A240" s="61"/>
      <x:c r="B240" s="61"/>
      <x:c r="C240" s="61"/>
      <x:c r="D240" s="61"/>
      <x:c r="E240" s="61"/>
      <x:c r="F240" s="61"/>
      <x:c r="G240" s="61"/>
      <x:c r="H240" s="61"/>
      <x:c r="I240" s="61"/>
      <x:c r="J240" s="61"/>
      <x:c r="K240" s="61"/>
      <x:c r="L240" s="61"/>
      <x:c r="M240" s="61"/>
      <x:c r="N240" s="61"/>
      <x:c r="O240" s="61"/>
      <x:c r="P240" s="61"/>
      <x:c r="Q240" s="61"/>
    </x:row>
    <x:row r="241">
      <x:c r="A241" s="61"/>
      <x:c r="B241" s="61"/>
      <x:c r="C241" s="61"/>
      <x:c r="D241" s="61"/>
      <x:c r="E241" s="61"/>
      <x:c r="F241" s="61"/>
      <x:c r="G241" s="61"/>
      <x:c r="H241" s="61"/>
      <x:c r="I241" s="61"/>
      <x:c r="J241" s="61"/>
      <x:c r="K241" s="61"/>
      <x:c r="L241" s="61"/>
      <x:c r="M241" s="61"/>
      <x:c r="N241" s="61"/>
      <x:c r="O241" s="61"/>
      <x:c r="P241" s="61"/>
      <x:c r="Q241" s="61"/>
    </x:row>
    <x:row r="242">
      <x:c r="A242" s="61"/>
      <x:c r="B242" s="61"/>
      <x:c r="C242" s="61"/>
      <x:c r="D242" s="61"/>
      <x:c r="E242" s="61"/>
      <x:c r="F242" s="61"/>
      <x:c r="G242" s="61"/>
      <x:c r="H242" s="61"/>
      <x:c r="I242" s="61"/>
      <x:c r="J242" s="61"/>
      <x:c r="K242" s="61"/>
      <x:c r="L242" s="61"/>
      <x:c r="M242" s="61"/>
      <x:c r="N242" s="61"/>
      <x:c r="O242" s="61"/>
      <x:c r="P242" s="61"/>
      <x:c r="Q242" s="61"/>
    </x:row>
    <x:row r="243">
      <x:c r="A243" s="61"/>
      <x:c r="B243" s="61"/>
      <x:c r="C243" s="61"/>
      <x:c r="D243" s="61"/>
      <x:c r="E243" s="61"/>
      <x:c r="F243" s="61"/>
      <x:c r="G243" s="61"/>
      <x:c r="H243" s="61"/>
      <x:c r="I243" s="61"/>
      <x:c r="J243" s="61"/>
      <x:c r="K243" s="61"/>
      <x:c r="L243" s="61"/>
      <x:c r="M243" s="61"/>
      <x:c r="N243" s="61"/>
      <x:c r="O243" s="61"/>
      <x:c r="P243" s="61"/>
      <x:c r="Q243" s="61"/>
    </x:row>
    <x:row r="244">
      <x:c r="A244" s="61"/>
      <x:c r="B244" s="61"/>
      <x:c r="C244" s="61"/>
      <x:c r="D244" s="61"/>
      <x:c r="E244" s="61"/>
      <x:c r="F244" s="61"/>
      <x:c r="G244" s="61"/>
      <x:c r="H244" s="61"/>
      <x:c r="I244" s="61"/>
      <x:c r="J244" s="61"/>
      <x:c r="K244" s="61"/>
      <x:c r="L244" s="61"/>
      <x:c r="M244" s="61"/>
      <x:c r="N244" s="61"/>
      <x:c r="O244" s="61"/>
      <x:c r="P244" s="61"/>
      <x:c r="Q244" s="61"/>
    </x:row>
    <x:row r="245">
      <x:c r="A245" s="61"/>
      <x:c r="B245" s="61"/>
      <x:c r="C245" s="61"/>
      <x:c r="D245" s="61"/>
      <x:c r="E245" s="61"/>
      <x:c r="F245" s="61"/>
      <x:c r="G245" s="61"/>
      <x:c r="H245" s="61"/>
      <x:c r="I245" s="61"/>
      <x:c r="J245" s="61"/>
      <x:c r="K245" s="61"/>
      <x:c r="L245" s="61"/>
      <x:c r="M245" s="61"/>
      <x:c r="N245" s="61"/>
      <x:c r="O245" s="61"/>
      <x:c r="P245" s="61"/>
      <x:c r="Q245" s="61"/>
    </x:row>
    <x:row r="246">
      <x:c r="A246" s="61"/>
      <x:c r="B246" s="61"/>
      <x:c r="C246" s="61"/>
      <x:c r="D246" s="61"/>
      <x:c r="E246" s="61"/>
      <x:c r="F246" s="61"/>
      <x:c r="G246" s="61"/>
      <x:c r="H246" s="61"/>
      <x:c r="I246" s="61"/>
      <x:c r="J246" s="61"/>
      <x:c r="K246" s="61"/>
      <x:c r="L246" s="61"/>
      <x:c r="M246" s="61"/>
      <x:c r="N246" s="61"/>
      <x:c r="O246" s="61"/>
      <x:c r="P246" s="61"/>
      <x:c r="Q246" s="61"/>
    </x:row>
    <x:row r="247">
      <x:c r="A247" s="61"/>
      <x:c r="B247" s="61"/>
      <x:c r="C247" s="61"/>
      <x:c r="D247" s="61"/>
      <x:c r="E247" s="61"/>
      <x:c r="F247" s="61"/>
      <x:c r="G247" s="61"/>
      <x:c r="H247" s="61"/>
      <x:c r="I247" s="61"/>
      <x:c r="J247" s="61"/>
      <x:c r="K247" s="61"/>
      <x:c r="L247" s="61"/>
      <x:c r="M247" s="61"/>
      <x:c r="N247" s="61"/>
      <x:c r="O247" s="61"/>
      <x:c r="P247" s="61"/>
      <x:c r="Q247" s="61"/>
    </x:row>
    <x:row r="248">
      <x:c r="A248" s="61"/>
      <x:c r="B248" s="61"/>
      <x:c r="C248" s="61"/>
      <x:c r="D248" s="61"/>
      <x:c r="E248" s="61"/>
      <x:c r="F248" s="61"/>
      <x:c r="G248" s="61"/>
      <x:c r="H248" s="61"/>
      <x:c r="I248" s="61"/>
      <x:c r="J248" s="61"/>
      <x:c r="K248" s="61"/>
      <x:c r="L248" s="61"/>
      <x:c r="M248" s="61"/>
      <x:c r="N248" s="61"/>
      <x:c r="O248" s="61"/>
      <x:c r="P248" s="61"/>
      <x:c r="Q248" s="61"/>
    </x:row>
    <x:row r="249">
      <x:c r="A249" s="61"/>
      <x:c r="B249" s="61"/>
      <x:c r="C249" s="61"/>
      <x:c r="D249" s="61"/>
      <x:c r="E249" s="61"/>
      <x:c r="F249" s="61"/>
      <x:c r="G249" s="61"/>
      <x:c r="H249" s="61"/>
      <x:c r="I249" s="61"/>
      <x:c r="J249" s="61"/>
      <x:c r="K249" s="61"/>
      <x:c r="L249" s="61"/>
      <x:c r="M249" s="61"/>
      <x:c r="N249" s="61"/>
      <x:c r="O249" s="61"/>
      <x:c r="P249" s="61"/>
      <x:c r="Q249" s="61"/>
    </x:row>
    <x:row r="250">
      <x:c r="A250" s="61"/>
      <x:c r="B250" s="61"/>
      <x:c r="C250" s="61"/>
      <x:c r="D250" s="61"/>
      <x:c r="E250" s="61"/>
      <x:c r="F250" s="61"/>
      <x:c r="G250" s="61"/>
      <x:c r="H250" s="61"/>
      <x:c r="I250" s="61"/>
      <x:c r="J250" s="61"/>
      <x:c r="K250" s="61"/>
      <x:c r="L250" s="61"/>
      <x:c r="M250" s="61"/>
      <x:c r="N250" s="61"/>
      <x:c r="O250" s="61"/>
      <x:c r="P250" s="61"/>
      <x:c r="Q250" s="61"/>
    </x:row>
    <x:row r="251">
      <x:c r="A251" s="61"/>
      <x:c r="B251" s="61"/>
      <x:c r="C251" s="61"/>
      <x:c r="D251" s="61"/>
      <x:c r="E251" s="61"/>
      <x:c r="F251" s="61"/>
      <x:c r="G251" s="61"/>
      <x:c r="H251" s="61"/>
      <x:c r="I251" s="61"/>
      <x:c r="J251" s="61"/>
      <x:c r="K251" s="61"/>
      <x:c r="L251" s="61"/>
      <x:c r="M251" s="61"/>
      <x:c r="N251" s="61"/>
      <x:c r="O251" s="61"/>
      <x:c r="P251" s="61"/>
      <x:c r="Q251" s="61"/>
    </x:row>
    <x:row r="252">
      <x:c r="A252" s="61"/>
      <x:c r="B252" s="61"/>
      <x:c r="C252" s="61"/>
      <x:c r="D252" s="61"/>
      <x:c r="E252" s="61"/>
      <x:c r="F252" s="61"/>
      <x:c r="G252" s="61"/>
      <x:c r="H252" s="61"/>
      <x:c r="I252" s="61"/>
      <x:c r="J252" s="61"/>
      <x:c r="K252" s="61"/>
      <x:c r="L252" s="61"/>
      <x:c r="M252" s="61"/>
      <x:c r="N252" s="61"/>
      <x:c r="O252" s="61"/>
      <x:c r="P252" s="61"/>
      <x:c r="Q252" s="61"/>
    </x:row>
    <x:row r="253">
      <x:c r="A253" s="61"/>
      <x:c r="B253" s="61"/>
      <x:c r="C253" s="61"/>
      <x:c r="D253" s="61"/>
      <x:c r="E253" s="61"/>
      <x:c r="F253" s="61"/>
      <x:c r="G253" s="61"/>
      <x:c r="H253" s="61"/>
      <x:c r="I253" s="61"/>
      <x:c r="J253" s="61"/>
      <x:c r="K253" s="61"/>
      <x:c r="L253" s="61"/>
      <x:c r="M253" s="61"/>
      <x:c r="N253" s="61"/>
      <x:c r="O253" s="61"/>
      <x:c r="P253" s="61"/>
      <x:c r="Q253" s="61"/>
    </x:row>
    <x:row r="254">
      <x:c r="A254" s="61"/>
      <x:c r="B254" s="61"/>
      <x:c r="C254" s="61"/>
      <x:c r="D254" s="61"/>
      <x:c r="E254" s="61"/>
      <x:c r="F254" s="61"/>
      <x:c r="G254" s="61"/>
      <x:c r="H254" s="61"/>
      <x:c r="I254" s="61"/>
      <x:c r="J254" s="61"/>
      <x:c r="K254" s="61"/>
      <x:c r="L254" s="61"/>
      <x:c r="M254" s="61"/>
      <x:c r="N254" s="61"/>
      <x:c r="O254" s="61"/>
      <x:c r="P254" s="61"/>
      <x:c r="Q254" s="61"/>
    </x:row>
    <x:row r="255">
      <x:c r="A255" s="61"/>
      <x:c r="B255" s="61"/>
      <x:c r="C255" s="61"/>
      <x:c r="D255" s="61"/>
      <x:c r="E255" s="61"/>
      <x:c r="F255" s="61"/>
      <x:c r="G255" s="61"/>
      <x:c r="H255" s="61"/>
      <x:c r="I255" s="61"/>
      <x:c r="J255" s="61"/>
      <x:c r="K255" s="61"/>
      <x:c r="L255" s="61"/>
      <x:c r="M255" s="61"/>
      <x:c r="N255" s="61"/>
      <x:c r="O255" s="61"/>
      <x:c r="P255" s="61"/>
      <x:c r="Q255" s="61"/>
    </x:row>
    <x:row r="256">
      <x:c r="A256" s="61"/>
      <x:c r="B256" s="61"/>
      <x:c r="C256" s="61"/>
      <x:c r="D256" s="61"/>
      <x:c r="E256" s="61"/>
      <x:c r="F256" s="61"/>
      <x:c r="G256" s="61"/>
      <x:c r="H256" s="61"/>
      <x:c r="I256" s="61"/>
      <x:c r="J256" s="61"/>
      <x:c r="K256" s="61"/>
      <x:c r="L256" s="61"/>
      <x:c r="M256" s="61"/>
      <x:c r="N256" s="61"/>
      <x:c r="O256" s="61"/>
      <x:c r="P256" s="61"/>
      <x:c r="Q256" s="61"/>
    </x:row>
    <x:row r="257">
      <x:c r="A257" s="61"/>
      <x:c r="B257" s="61"/>
      <x:c r="C257" s="61"/>
      <x:c r="D257" s="61"/>
      <x:c r="E257" s="61"/>
      <x:c r="F257" s="61"/>
      <x:c r="G257" s="61"/>
      <x:c r="H257" s="61"/>
      <x:c r="I257" s="61"/>
      <x:c r="J257" s="61"/>
      <x:c r="K257" s="61"/>
      <x:c r="L257" s="61"/>
      <x:c r="M257" s="61"/>
      <x:c r="N257" s="61"/>
      <x:c r="O257" s="61"/>
      <x:c r="P257" s="61"/>
      <x:c r="Q257" s="61"/>
    </x:row>
    <x:row r="258">
      <x:c r="A258" s="61"/>
      <x:c r="B258" s="61"/>
      <x:c r="C258" s="61"/>
      <x:c r="D258" s="61"/>
      <x:c r="E258" s="61"/>
      <x:c r="F258" s="61"/>
      <x:c r="G258" s="61"/>
      <x:c r="H258" s="61"/>
      <x:c r="I258" s="61"/>
      <x:c r="J258" s="61"/>
      <x:c r="K258" s="61"/>
      <x:c r="L258" s="61"/>
      <x:c r="M258" s="61"/>
      <x:c r="N258" s="61"/>
      <x:c r="O258" s="61"/>
      <x:c r="P258" s="61"/>
      <x:c r="Q258" s="61"/>
    </x:row>
    <x:row r="259">
      <x:c r="A259" s="61"/>
      <x:c r="B259" s="61"/>
      <x:c r="C259" s="61"/>
      <x:c r="D259" s="61"/>
      <x:c r="E259" s="61"/>
      <x:c r="F259" s="61"/>
      <x:c r="G259" s="61"/>
      <x:c r="H259" s="61"/>
      <x:c r="I259" s="61"/>
      <x:c r="J259" s="61"/>
      <x:c r="K259" s="61"/>
      <x:c r="L259" s="61"/>
      <x:c r="M259" s="61"/>
      <x:c r="N259" s="61"/>
      <x:c r="O259" s="61"/>
      <x:c r="P259" s="61"/>
      <x:c r="Q259" s="61"/>
    </x:row>
    <x:row r="260">
      <x:c r="A260" s="61"/>
      <x:c r="B260" s="61"/>
      <x:c r="C260" s="61"/>
      <x:c r="D260" s="61"/>
      <x:c r="E260" s="61"/>
      <x:c r="F260" s="61"/>
      <x:c r="G260" s="61"/>
      <x:c r="H260" s="61"/>
      <x:c r="I260" s="61"/>
      <x:c r="J260" s="61"/>
      <x:c r="K260" s="61"/>
      <x:c r="L260" s="61"/>
      <x:c r="M260" s="61"/>
      <x:c r="N260" s="61"/>
      <x:c r="O260" s="61"/>
      <x:c r="P260" s="61"/>
      <x:c r="Q260" s="61"/>
    </x:row>
    <x:row r="261">
      <x:c r="A261" s="61"/>
      <x:c r="B261" s="61"/>
      <x:c r="C261" s="61"/>
      <x:c r="D261" s="61"/>
      <x:c r="E261" s="61"/>
      <x:c r="F261" s="61"/>
      <x:c r="G261" s="61"/>
      <x:c r="H261" s="61"/>
      <x:c r="I261" s="61"/>
      <x:c r="J261" s="61"/>
      <x:c r="K261" s="61"/>
      <x:c r="L261" s="61"/>
      <x:c r="M261" s="61"/>
      <x:c r="N261" s="61"/>
      <x:c r="O261" s="61"/>
      <x:c r="P261" s="61"/>
      <x:c r="Q261" s="61"/>
    </x:row>
    <x:row r="262">
      <x:c r="A262" s="61"/>
      <x:c r="B262" s="61"/>
      <x:c r="C262" s="61"/>
      <x:c r="D262" s="61"/>
      <x:c r="E262" s="61"/>
      <x:c r="F262" s="61"/>
      <x:c r="G262" s="61"/>
      <x:c r="H262" s="61"/>
      <x:c r="I262" s="61"/>
      <x:c r="J262" s="61"/>
      <x:c r="K262" s="61"/>
      <x:c r="L262" s="61"/>
      <x:c r="M262" s="61"/>
      <x:c r="N262" s="61"/>
      <x:c r="O262" s="61"/>
      <x:c r="P262" s="61"/>
      <x:c r="Q262" s="61"/>
    </x:row>
    <x:row r="263">
      <x:c r="A263" s="61"/>
      <x:c r="B263" s="61"/>
      <x:c r="C263" s="61"/>
      <x:c r="D263" s="61"/>
      <x:c r="E263" s="61"/>
      <x:c r="F263" s="61"/>
      <x:c r="G263" s="61"/>
      <x:c r="H263" s="61"/>
      <x:c r="I263" s="61"/>
      <x:c r="J263" s="61"/>
      <x:c r="K263" s="61"/>
      <x:c r="L263" s="61"/>
      <x:c r="M263" s="61"/>
      <x:c r="N263" s="61"/>
      <x:c r="O263" s="61"/>
      <x:c r="P263" s="61"/>
      <x:c r="Q263" s="61"/>
    </x:row>
    <x:row r="264">
      <x:c r="A264" s="61"/>
      <x:c r="B264" s="61"/>
      <x:c r="C264" s="61"/>
      <x:c r="D264" s="61"/>
      <x:c r="E264" s="61"/>
      <x:c r="F264" s="61"/>
      <x:c r="G264" s="61"/>
      <x:c r="H264" s="61"/>
      <x:c r="I264" s="61"/>
      <x:c r="J264" s="61"/>
      <x:c r="K264" s="61"/>
      <x:c r="L264" s="61"/>
      <x:c r="M264" s="61"/>
      <x:c r="N264" s="61"/>
      <x:c r="O264" s="61"/>
      <x:c r="P264" s="61"/>
      <x:c r="Q264" s="61"/>
    </x:row>
    <x:row r="265">
      <x:c r="A265" s="61"/>
      <x:c r="B265" s="61"/>
      <x:c r="C265" s="61"/>
      <x:c r="D265" s="61"/>
      <x:c r="E265" s="61"/>
      <x:c r="F265" s="61"/>
      <x:c r="G265" s="61"/>
      <x:c r="H265" s="61"/>
      <x:c r="I265" s="61"/>
      <x:c r="J265" s="61"/>
      <x:c r="K265" s="61"/>
      <x:c r="L265" s="61"/>
      <x:c r="M265" s="61"/>
      <x:c r="N265" s="61"/>
      <x:c r="O265" s="61"/>
      <x:c r="P265" s="61"/>
      <x:c r="Q265" s="61"/>
    </x:row>
    <x:row r="266">
      <x:c r="A266" s="61"/>
      <x:c r="B266" s="61"/>
      <x:c r="C266" s="61"/>
      <x:c r="D266" s="61"/>
      <x:c r="E266" s="61"/>
      <x:c r="F266" s="61"/>
      <x:c r="G266" s="61"/>
      <x:c r="H266" s="61"/>
      <x:c r="I266" s="61"/>
      <x:c r="J266" s="61"/>
      <x:c r="K266" s="61"/>
      <x:c r="L266" s="61"/>
      <x:c r="M266" s="61"/>
      <x:c r="N266" s="61"/>
      <x:c r="O266" s="61"/>
      <x:c r="P266" s="61"/>
      <x:c r="Q266" s="61"/>
    </x:row>
    <x:row r="267">
      <x:c r="A267" s="61"/>
      <x:c r="B267" s="61"/>
      <x:c r="C267" s="61"/>
      <x:c r="D267" s="61"/>
      <x:c r="E267" s="61"/>
      <x:c r="F267" s="61"/>
      <x:c r="G267" s="61"/>
      <x:c r="H267" s="61"/>
      <x:c r="I267" s="61"/>
      <x:c r="J267" s="61"/>
      <x:c r="K267" s="61"/>
      <x:c r="L267" s="61"/>
      <x:c r="M267" s="61"/>
      <x:c r="N267" s="61"/>
      <x:c r="O267" s="61"/>
      <x:c r="P267" s="61"/>
      <x:c r="Q267" s="61"/>
    </x:row>
    <x:row r="268">
      <x:c r="A268" s="61"/>
      <x:c r="B268" s="61"/>
      <x:c r="C268" s="61"/>
      <x:c r="D268" s="61"/>
      <x:c r="E268" s="61"/>
      <x:c r="F268" s="61"/>
      <x:c r="G268" s="61"/>
      <x:c r="H268" s="61"/>
      <x:c r="I268" s="61"/>
      <x:c r="J268" s="61"/>
      <x:c r="K268" s="61"/>
      <x:c r="L268" s="61"/>
      <x:c r="M268" s="61"/>
      <x:c r="N268" s="61"/>
      <x:c r="O268" s="61"/>
      <x:c r="P268" s="61"/>
      <x:c r="Q268" s="61"/>
    </x:row>
    <x:row r="269">
      <x:c r="A269" s="61"/>
      <x:c r="B269" s="61"/>
      <x:c r="C269" s="61"/>
      <x:c r="D269" s="61"/>
      <x:c r="E269" s="61"/>
      <x:c r="F269" s="61"/>
      <x:c r="G269" s="61"/>
      <x:c r="H269" s="61"/>
      <x:c r="I269" s="61"/>
      <x:c r="J269" s="61"/>
      <x:c r="K269" s="61"/>
      <x:c r="L269" s="61"/>
      <x:c r="M269" s="61"/>
      <x:c r="N269" s="61"/>
      <x:c r="O269" s="61"/>
      <x:c r="P269" s="61"/>
      <x:c r="Q269" s="61"/>
    </x:row>
    <x:row r="270">
      <x:c r="A270" s="61"/>
      <x:c r="B270" s="61"/>
      <x:c r="C270" s="61"/>
      <x:c r="D270" s="61"/>
      <x:c r="E270" s="61"/>
      <x:c r="F270" s="61"/>
      <x:c r="G270" s="61"/>
      <x:c r="H270" s="61"/>
      <x:c r="I270" s="61"/>
      <x:c r="J270" s="61"/>
      <x:c r="K270" s="61"/>
      <x:c r="L270" s="61"/>
      <x:c r="M270" s="61"/>
      <x:c r="N270" s="61"/>
      <x:c r="O270" s="61"/>
      <x:c r="P270" s="61"/>
      <x:c r="Q270" s="61"/>
    </x:row>
    <x:row r="271">
      <x:c r="A271" s="61"/>
      <x:c r="B271" s="61"/>
      <x:c r="C271" s="61"/>
      <x:c r="D271" s="61"/>
      <x:c r="E271" s="61"/>
      <x:c r="F271" s="61"/>
      <x:c r="G271" s="61"/>
      <x:c r="H271" s="61"/>
      <x:c r="I271" s="61"/>
      <x:c r="J271" s="61"/>
      <x:c r="K271" s="61"/>
      <x:c r="L271" s="61"/>
      <x:c r="M271" s="61"/>
      <x:c r="N271" s="61"/>
      <x:c r="O271" s="61"/>
      <x:c r="P271" s="61"/>
      <x:c r="Q271" s="61"/>
    </x:row>
    <x:row r="272">
      <x:c r="A272" s="61"/>
      <x:c r="B272" s="61"/>
      <x:c r="C272" s="61"/>
      <x:c r="D272" s="61"/>
      <x:c r="E272" s="61"/>
      <x:c r="F272" s="61"/>
      <x:c r="G272" s="61"/>
      <x:c r="H272" s="61"/>
      <x:c r="I272" s="61"/>
      <x:c r="J272" s="61"/>
      <x:c r="K272" s="61"/>
      <x:c r="L272" s="61"/>
      <x:c r="M272" s="61"/>
      <x:c r="N272" s="61"/>
      <x:c r="O272" s="61"/>
      <x:c r="P272" s="61"/>
      <x:c r="Q272" s="61"/>
    </x:row>
    <x:row r="273">
      <x:c r="A273" s="61"/>
      <x:c r="B273" s="61"/>
      <x:c r="C273" s="61"/>
      <x:c r="D273" s="61"/>
      <x:c r="E273" s="61"/>
      <x:c r="F273" s="61"/>
      <x:c r="G273" s="61"/>
      <x:c r="H273" s="61"/>
      <x:c r="I273" s="61"/>
      <x:c r="J273" s="61"/>
      <x:c r="K273" s="61"/>
      <x:c r="L273" s="61"/>
      <x:c r="M273" s="61"/>
      <x:c r="N273" s="61"/>
      <x:c r="O273" s="61"/>
      <x:c r="P273" s="61"/>
      <x:c r="Q273" s="61"/>
    </x:row>
    <x:row r="274">
      <x:c r="A274" s="61"/>
      <x:c r="B274" s="61"/>
      <x:c r="C274" s="61"/>
      <x:c r="D274" s="61"/>
      <x:c r="E274" s="61"/>
      <x:c r="F274" s="61"/>
      <x:c r="G274" s="61"/>
      <x:c r="H274" s="61"/>
      <x:c r="I274" s="61"/>
      <x:c r="J274" s="61"/>
      <x:c r="K274" s="61"/>
      <x:c r="L274" s="61"/>
      <x:c r="M274" s="61"/>
      <x:c r="N274" s="61"/>
      <x:c r="O274" s="61"/>
      <x:c r="P274" s="61"/>
      <x:c r="Q274" s="61"/>
    </x:row>
    <x:row r="275">
      <x:c r="A275" s="61"/>
      <x:c r="B275" s="61"/>
      <x:c r="C275" s="61"/>
      <x:c r="D275" s="61"/>
      <x:c r="E275" s="61"/>
      <x:c r="F275" s="61"/>
      <x:c r="G275" s="61"/>
      <x:c r="H275" s="61"/>
      <x:c r="I275" s="61"/>
      <x:c r="J275" s="61"/>
      <x:c r="K275" s="61"/>
      <x:c r="L275" s="61"/>
      <x:c r="M275" s="61"/>
      <x:c r="N275" s="61"/>
      <x:c r="O275" s="61"/>
      <x:c r="P275" s="61"/>
      <x:c r="Q275" s="61"/>
    </x:row>
    <x:row r="276">
      <x:c r="A276" s="61"/>
      <x:c r="B276" s="61"/>
      <x:c r="C276" s="61"/>
      <x:c r="D276" s="61"/>
      <x:c r="E276" s="61"/>
      <x:c r="F276" s="61"/>
      <x:c r="G276" s="61"/>
      <x:c r="H276" s="61"/>
      <x:c r="I276" s="61"/>
      <x:c r="J276" s="61"/>
      <x:c r="K276" s="61"/>
      <x:c r="L276" s="61"/>
      <x:c r="M276" s="61"/>
      <x:c r="N276" s="61"/>
      <x:c r="O276" s="61"/>
      <x:c r="P276" s="61"/>
      <x:c r="Q276" s="61"/>
    </x:row>
    <x:row r="277">
      <x:c r="A277" s="61"/>
      <x:c r="B277" s="61"/>
      <x:c r="C277" s="61"/>
      <x:c r="D277" s="61"/>
      <x:c r="E277" s="61"/>
      <x:c r="F277" s="61"/>
      <x:c r="G277" s="61"/>
      <x:c r="H277" s="61"/>
      <x:c r="I277" s="61"/>
      <x:c r="J277" s="61"/>
      <x:c r="K277" s="61"/>
      <x:c r="L277" s="61"/>
      <x:c r="M277" s="61"/>
      <x:c r="N277" s="61"/>
      <x:c r="O277" s="61"/>
      <x:c r="P277" s="61"/>
      <x:c r="Q277" s="61"/>
    </x:row>
    <x:row r="278">
      <x:c r="A278" s="61"/>
      <x:c r="B278" s="61"/>
      <x:c r="C278" s="61"/>
      <x:c r="D278" s="61"/>
      <x:c r="E278" s="61"/>
      <x:c r="F278" s="61"/>
      <x:c r="G278" s="61"/>
      <x:c r="H278" s="61"/>
      <x:c r="I278" s="61"/>
      <x:c r="J278" s="61"/>
      <x:c r="K278" s="61"/>
      <x:c r="L278" s="61"/>
      <x:c r="M278" s="61"/>
      <x:c r="N278" s="61"/>
      <x:c r="O278" s="61"/>
      <x:c r="P278" s="61"/>
      <x:c r="Q278" s="61"/>
    </x:row>
    <x:row r="279">
      <x:c r="A279" s="61"/>
      <x:c r="B279" s="61"/>
      <x:c r="C279" s="61"/>
      <x:c r="D279" s="61"/>
      <x:c r="E279" s="61"/>
      <x:c r="F279" s="61"/>
      <x:c r="G279" s="61"/>
      <x:c r="H279" s="61"/>
      <x:c r="I279" s="61"/>
      <x:c r="J279" s="61"/>
      <x:c r="K279" s="61"/>
      <x:c r="L279" s="61"/>
      <x:c r="M279" s="61"/>
      <x:c r="N279" s="61"/>
      <x:c r="O279" s="61"/>
      <x:c r="P279" s="61"/>
      <x:c r="Q279" s="61"/>
    </x:row>
    <x:row r="280">
      <x:c r="A280" s="61"/>
      <x:c r="B280" s="61"/>
      <x:c r="C280" s="61"/>
      <x:c r="D280" s="61"/>
      <x:c r="E280" s="61"/>
      <x:c r="F280" s="61"/>
      <x:c r="G280" s="61"/>
      <x:c r="H280" s="61"/>
      <x:c r="I280" s="61"/>
      <x:c r="J280" s="61"/>
      <x:c r="K280" s="61"/>
      <x:c r="L280" s="61"/>
      <x:c r="M280" s="61"/>
      <x:c r="N280" s="61"/>
      <x:c r="O280" s="61"/>
      <x:c r="P280" s="61"/>
      <x:c r="Q280" s="61"/>
    </x:row>
    <x:row r="281">
      <x:c r="A281" s="61"/>
      <x:c r="B281" s="61"/>
      <x:c r="C281" s="61"/>
      <x:c r="D281" s="61"/>
      <x:c r="E281" s="61"/>
      <x:c r="F281" s="61"/>
      <x:c r="G281" s="61"/>
      <x:c r="H281" s="61"/>
      <x:c r="I281" s="61"/>
      <x:c r="J281" s="61"/>
      <x:c r="K281" s="61"/>
      <x:c r="L281" s="61"/>
      <x:c r="M281" s="61"/>
      <x:c r="N281" s="61"/>
      <x:c r="O281" s="61"/>
      <x:c r="P281" s="61"/>
      <x:c r="Q281" s="61"/>
    </x:row>
    <x:row r="282">
      <x:c r="A282" s="61"/>
      <x:c r="B282" s="61"/>
      <x:c r="C282" s="61"/>
      <x:c r="D282" s="61"/>
      <x:c r="E282" s="61"/>
      <x:c r="F282" s="61"/>
      <x:c r="G282" s="61"/>
      <x:c r="H282" s="61"/>
      <x:c r="I282" s="61"/>
      <x:c r="J282" s="61"/>
      <x:c r="K282" s="61"/>
      <x:c r="L282" s="61"/>
      <x:c r="M282" s="61"/>
      <x:c r="N282" s="61"/>
      <x:c r="O282" s="61"/>
      <x:c r="P282" s="61"/>
      <x:c r="Q282" s="61"/>
    </x:row>
    <x:row r="283">
      <x:c r="A283" s="61"/>
      <x:c r="B283" s="61"/>
      <x:c r="C283" s="61"/>
      <x:c r="D283" s="61"/>
      <x:c r="E283" s="61"/>
      <x:c r="F283" s="61"/>
      <x:c r="G283" s="61"/>
      <x:c r="H283" s="61"/>
      <x:c r="I283" s="61"/>
      <x:c r="J283" s="61"/>
      <x:c r="K283" s="61"/>
      <x:c r="L283" s="61"/>
      <x:c r="M283" s="61"/>
      <x:c r="N283" s="61"/>
      <x:c r="O283" s="61"/>
      <x:c r="P283" s="61"/>
      <x:c r="Q283" s="61"/>
    </x:row>
    <x:row r="284">
      <x:c r="A284" s="61"/>
      <x:c r="B284" s="61"/>
      <x:c r="C284" s="61"/>
      <x:c r="D284" s="61"/>
      <x:c r="E284" s="61"/>
      <x:c r="F284" s="61"/>
      <x:c r="G284" s="61"/>
      <x:c r="H284" s="61"/>
      <x:c r="I284" s="61"/>
      <x:c r="J284" s="61"/>
      <x:c r="K284" s="61"/>
      <x:c r="L284" s="61"/>
      <x:c r="M284" s="61"/>
      <x:c r="N284" s="61"/>
      <x:c r="O284" s="61"/>
      <x:c r="P284" s="61"/>
      <x:c r="Q284" s="61"/>
    </x:row>
    <x:row r="285">
      <x:c r="A285" s="61"/>
      <x:c r="B285" s="61"/>
      <x:c r="C285" s="61"/>
      <x:c r="D285" s="61"/>
      <x:c r="E285" s="61"/>
      <x:c r="F285" s="61"/>
      <x:c r="G285" s="61"/>
      <x:c r="H285" s="61"/>
      <x:c r="I285" s="61"/>
      <x:c r="J285" s="61"/>
      <x:c r="K285" s="61"/>
      <x:c r="L285" s="61"/>
      <x:c r="M285" s="61"/>
      <x:c r="N285" s="61"/>
      <x:c r="O285" s="61"/>
      <x:c r="P285" s="61"/>
      <x:c r="Q285" s="61"/>
    </x:row>
    <x:row r="286">
      <x:c r="A286" s="61"/>
      <x:c r="B286" s="61"/>
      <x:c r="C286" s="61"/>
      <x:c r="D286" s="61"/>
      <x:c r="E286" s="61"/>
      <x:c r="F286" s="61"/>
      <x:c r="G286" s="61"/>
      <x:c r="H286" s="61"/>
      <x:c r="I286" s="61"/>
      <x:c r="J286" s="61"/>
      <x:c r="K286" s="61"/>
      <x:c r="L286" s="61"/>
      <x:c r="M286" s="61"/>
      <x:c r="N286" s="61"/>
      <x:c r="O286" s="61"/>
      <x:c r="P286" s="61"/>
      <x:c r="Q286" s="61"/>
    </x:row>
    <x:row r="287">
      <x:c r="A287" s="61"/>
      <x:c r="B287" s="61"/>
      <x:c r="C287" s="61"/>
      <x:c r="D287" s="61"/>
      <x:c r="E287" s="61"/>
      <x:c r="F287" s="61"/>
      <x:c r="G287" s="61"/>
      <x:c r="H287" s="61"/>
      <x:c r="I287" s="61"/>
      <x:c r="J287" s="61"/>
      <x:c r="K287" s="61"/>
      <x:c r="L287" s="61"/>
      <x:c r="M287" s="61"/>
      <x:c r="N287" s="61"/>
      <x:c r="O287" s="61"/>
      <x:c r="P287" s="61"/>
      <x:c r="Q287" s="61"/>
    </x:row>
    <x:row r="288">
      <x:c r="A288" s="61"/>
      <x:c r="B288" s="61"/>
      <x:c r="C288" s="61"/>
      <x:c r="D288" s="61"/>
      <x:c r="E288" s="61"/>
      <x:c r="F288" s="61"/>
      <x:c r="G288" s="61"/>
      <x:c r="H288" s="61"/>
      <x:c r="I288" s="61"/>
      <x:c r="J288" s="61"/>
      <x:c r="K288" s="61"/>
      <x:c r="L288" s="61"/>
      <x:c r="M288" s="61"/>
      <x:c r="N288" s="61"/>
      <x:c r="O288" s="61"/>
      <x:c r="P288" s="61"/>
      <x:c r="Q288" s="61"/>
    </x:row>
    <x:row r="289">
      <x:c r="A289" s="61"/>
      <x:c r="B289" s="61"/>
      <x:c r="C289" s="61"/>
      <x:c r="D289" s="61"/>
      <x:c r="E289" s="61"/>
      <x:c r="F289" s="61"/>
      <x:c r="G289" s="61"/>
      <x:c r="H289" s="61"/>
      <x:c r="I289" s="61"/>
      <x:c r="J289" s="61"/>
      <x:c r="K289" s="61"/>
      <x:c r="L289" s="61"/>
      <x:c r="M289" s="61"/>
      <x:c r="N289" s="61"/>
      <x:c r="O289" s="61"/>
      <x:c r="P289" s="61"/>
      <x:c r="Q289" s="61"/>
    </x:row>
    <x:row r="290">
      <x:c r="A290" s="61"/>
      <x:c r="B290" s="61"/>
      <x:c r="C290" s="61"/>
      <x:c r="D290" s="61"/>
      <x:c r="E290" s="61"/>
      <x:c r="F290" s="61"/>
      <x:c r="G290" s="61"/>
      <x:c r="H290" s="61"/>
      <x:c r="I290" s="61"/>
      <x:c r="J290" s="61"/>
      <x:c r="K290" s="61"/>
      <x:c r="L290" s="61"/>
      <x:c r="M290" s="61"/>
      <x:c r="N290" s="61"/>
      <x:c r="O290" s="61"/>
      <x:c r="P290" s="61"/>
      <x:c r="Q290" s="61"/>
    </x:row>
    <x:row r="291">
      <x:c r="A291" s="61"/>
      <x:c r="B291" s="61"/>
      <x:c r="C291" s="61"/>
      <x:c r="D291" s="61"/>
      <x:c r="E291" s="61"/>
      <x:c r="F291" s="61"/>
      <x:c r="G291" s="61"/>
      <x:c r="H291" s="61"/>
      <x:c r="I291" s="61"/>
      <x:c r="J291" s="61"/>
      <x:c r="K291" s="61"/>
      <x:c r="L291" s="61"/>
      <x:c r="M291" s="61"/>
      <x:c r="N291" s="61"/>
      <x:c r="O291" s="61"/>
      <x:c r="P291" s="61"/>
      <x:c r="Q291" s="61"/>
    </x:row>
    <x:row r="292">
      <x:c r="A292" s="61"/>
      <x:c r="B292" s="61"/>
      <x:c r="C292" s="61"/>
      <x:c r="D292" s="61"/>
      <x:c r="E292" s="61"/>
      <x:c r="F292" s="61"/>
      <x:c r="G292" s="61"/>
      <x:c r="H292" s="61"/>
      <x:c r="I292" s="61"/>
      <x:c r="J292" s="61"/>
      <x:c r="K292" s="61"/>
      <x:c r="L292" s="61"/>
      <x:c r="M292" s="61"/>
      <x:c r="N292" s="61"/>
      <x:c r="O292" s="61"/>
      <x:c r="P292" s="61"/>
      <x:c r="Q292" s="61"/>
    </x:row>
    <x:row r="293">
      <x:c r="A293" s="61"/>
      <x:c r="B293" s="61"/>
      <x:c r="C293" s="61"/>
      <x:c r="D293" s="61"/>
      <x:c r="E293" s="61"/>
      <x:c r="F293" s="61"/>
      <x:c r="G293" s="61"/>
      <x:c r="H293" s="61"/>
      <x:c r="I293" s="61"/>
      <x:c r="J293" s="61"/>
      <x:c r="K293" s="61"/>
      <x:c r="L293" s="61"/>
      <x:c r="M293" s="61"/>
      <x:c r="N293" s="61"/>
      <x:c r="O293" s="61"/>
      <x:c r="P293" s="61"/>
      <x:c r="Q293" s="61"/>
    </x:row>
    <x:row r="294">
      <x:c r="A294" s="61"/>
      <x:c r="B294" s="61"/>
      <x:c r="C294" s="61"/>
      <x:c r="D294" s="61"/>
      <x:c r="E294" s="61"/>
      <x:c r="F294" s="61"/>
      <x:c r="G294" s="61"/>
      <x:c r="H294" s="61"/>
      <x:c r="I294" s="61"/>
      <x:c r="J294" s="61"/>
      <x:c r="K294" s="61"/>
      <x:c r="L294" s="61"/>
      <x:c r="M294" s="61"/>
      <x:c r="N294" s="61"/>
      <x:c r="O294" s="61"/>
      <x:c r="P294" s="61"/>
      <x:c r="Q294" s="61"/>
    </x:row>
    <x:row r="295">
      <x:c r="A295" s="61"/>
      <x:c r="B295" s="61"/>
      <x:c r="C295" s="61"/>
      <x:c r="D295" s="61"/>
      <x:c r="E295" s="61"/>
      <x:c r="F295" s="61"/>
      <x:c r="G295" s="61"/>
      <x:c r="H295" s="61"/>
      <x:c r="I295" s="61"/>
      <x:c r="J295" s="61"/>
      <x:c r="K295" s="61"/>
      <x:c r="L295" s="61"/>
      <x:c r="M295" s="61"/>
      <x:c r="N295" s="61"/>
      <x:c r="O295" s="61"/>
      <x:c r="P295" s="61"/>
      <x:c r="Q295" s="61"/>
    </x:row>
    <x:row r="296">
      <x:c r="A296" s="61"/>
      <x:c r="B296" s="61"/>
      <x:c r="C296" s="61"/>
      <x:c r="D296" s="61"/>
      <x:c r="E296" s="61"/>
      <x:c r="F296" s="61"/>
      <x:c r="G296" s="61"/>
      <x:c r="H296" s="61"/>
      <x:c r="I296" s="61"/>
      <x:c r="J296" s="61"/>
      <x:c r="K296" s="61"/>
      <x:c r="L296" s="61"/>
      <x:c r="M296" s="61"/>
      <x:c r="N296" s="61"/>
      <x:c r="O296" s="61"/>
      <x:c r="P296" s="61"/>
      <x:c r="Q296" s="61"/>
    </x:row>
    <x:row r="297">
      <x:c r="A297" s="61"/>
      <x:c r="B297" s="61"/>
      <x:c r="C297" s="61"/>
      <x:c r="D297" s="61"/>
      <x:c r="E297" s="61"/>
      <x:c r="F297" s="61"/>
      <x:c r="G297" s="61"/>
      <x:c r="H297" s="61"/>
      <x:c r="I297" s="61"/>
      <x:c r="J297" s="61"/>
      <x:c r="K297" s="61"/>
      <x:c r="L297" s="61"/>
      <x:c r="M297" s="61"/>
      <x:c r="N297" s="61"/>
      <x:c r="O297" s="61"/>
      <x:c r="P297" s="61"/>
      <x:c r="Q297" s="61"/>
    </x:row>
    <x:row r="298">
      <x:c r="A298" s="61"/>
      <x:c r="B298" s="61"/>
      <x:c r="C298" s="61"/>
      <x:c r="D298" s="61"/>
      <x:c r="E298" s="61"/>
      <x:c r="F298" s="61"/>
      <x:c r="G298" s="61"/>
      <x:c r="H298" s="61"/>
      <x:c r="I298" s="61"/>
      <x:c r="J298" s="61"/>
      <x:c r="K298" s="61"/>
      <x:c r="L298" s="61"/>
      <x:c r="M298" s="61"/>
      <x:c r="N298" s="61"/>
      <x:c r="O298" s="61"/>
      <x:c r="P298" s="61"/>
      <x:c r="Q298" s="61"/>
    </x:row>
    <x:row r="299">
      <x:c r="A299" s="61"/>
      <x:c r="B299" s="61"/>
      <x:c r="C299" s="61"/>
      <x:c r="D299" s="61"/>
      <x:c r="E299" s="61"/>
      <x:c r="F299" s="61"/>
      <x:c r="G299" s="61"/>
      <x:c r="H299" s="61"/>
      <x:c r="I299" s="61"/>
      <x:c r="J299" s="61"/>
      <x:c r="K299" s="61"/>
      <x:c r="L299" s="61"/>
      <x:c r="M299" s="61"/>
      <x:c r="N299" s="61"/>
      <x:c r="O299" s="61"/>
      <x:c r="P299" s="61"/>
      <x:c r="Q299" s="61"/>
    </x:row>
    <x:row r="300">
      <x:c r="A300" s="61"/>
      <x:c r="B300" s="61"/>
      <x:c r="C300" s="61"/>
      <x:c r="D300" s="61"/>
      <x:c r="E300" s="61"/>
      <x:c r="F300" s="61"/>
      <x:c r="G300" s="61"/>
      <x:c r="H300" s="61"/>
      <x:c r="I300" s="61"/>
      <x:c r="J300" s="61"/>
      <x:c r="K300" s="61"/>
      <x:c r="L300" s="61"/>
      <x:c r="M300" s="61"/>
      <x:c r="N300" s="61"/>
      <x:c r="O300" s="61"/>
      <x:c r="P300" s="61"/>
      <x:c r="Q300" s="61"/>
    </x:row>
  </x:sheetData>
  <x:mergeCells>
    <x:mergeCell ref="A1:H2"/>
    <x:mergeCell ref="A3:H3"/>
    <x:mergeCell ref="D5:H5"/>
    <x:mergeCell ref="D6:H6"/>
    <x:mergeCell ref="D7:H7"/>
    <x:mergeCell ref="D8:H8"/>
    <x:mergeCell ref="D9:H9"/>
    <x:mergeCell ref="D10:H10"/>
    <x:mergeCell ref="A26:H26"/>
    <x:mergeCell ref="A27:H27"/>
    <x:mergeCell ref="A28:H28"/>
    <x:mergeCell ref="A29:H29"/>
  </x:mergeCells>
  <x:pageMargins left="0.7" right="0.7" top="0.75" bottom="0.75" header="0.3" footer="0.3"/>
  <x:drawing xmlns:r="http://schemas.openxmlformats.org/officeDocument/2006/relationships" r:id="R227de50490194d31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32" hidden="0" customWidth="1"/>
    <x:col min="5" max="5" width="38" hidden="0" customWidth="1"/>
    <x:col min="6" max="6" width="45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5" hidden="0" customWidth="1"/>
    <x:col min="12" max="12" width="12" hidden="0" customWidth="1"/>
    <x:col min="13" max="13" width="30" hidden="0" customWidth="1"/>
    <x:col min="14" max="14" width="16" hidden="0" customWidth="1"/>
  </x:cols>
  <x:sheetData>
    <x:row r="1">
      <x:c r="A1" s="60" t="str">
        <x:v>ID</x:v>
      </x:c>
      <x:c r="B1" s="60" t="str">
        <x:v>Área</x:v>
      </x:c>
      <x:c r="C1" s="60" t="str">
        <x:v>Cenário</x:v>
      </x:c>
      <x:c r="D1" s="60" t="str">
        <x:v>Pré-condição</x:v>
      </x:c>
      <x:c r="E1" s="60" t="str">
        <x:v>Passos resumidos</x:v>
      </x:c>
      <x:c r="F1" s="60" t="str">
        <x:v>Resultado esperado</x:v>
      </x:c>
      <x:c r="G1" s="60" t="str">
        <x:v>Web</x:v>
      </x:c>
      <x:c r="H1" s="60" t="str">
        <x:v>Mobile</x:v>
      </x:c>
      <x:c r="I1" s="60" t="str">
        <x:v>Empresa A</x:v>
      </x:c>
      <x:c r="J1" s="60" t="str">
        <x:v>Empresa B</x:v>
      </x:c>
      <x:c r="K1" s="60" t="str">
        <x:v>Status</x:v>
      </x:c>
      <x:c r="L1" s="60" t="str">
        <x:v>Data</x:v>
      </x:c>
      <x:c r="M1" s="60" t="str">
        <x:v>Evidência</x:v>
      </x:c>
      <x:c r="N1" s="60" t="str">
        <x:v>Responsável</x:v>
      </x:c>
      <x:c r="O1" s="61"/>
      <x:c r="P1" s="61"/>
      <x:c r="Q1" s="61"/>
    </x:row>
    <x:row r="2">
      <x:c r="A2" s="61" t="str">
        <x:v>TST-001</x:v>
      </x:c>
      <x:c r="B2" s="61" t="str">
        <x:v>Multiempresa</x:v>
      </x:c>
      <x:c r="C2" s="64" t="str">
        <x:v>Criar/usar duas empresas independentes</x:v>
      </x:c>
      <x:c r="D2" s="64" t="str">
        <x:v>Dados de teste preparados e usuário autenticado</x:v>
      </x:c>
      <x:c r="E2" s="64" t="str">
        <x:v>Executar cenário do início ao fim sem corrigir dados manualmente.</x:v>
      </x:c>
      <x:c r="F2" s="64" t="str">
        <x:v>Nenhum dado comercial/fiscal/configuração cruza entre empresas.</x:v>
      </x:c>
      <x:c r="G2" s="61" t="str">
        <x:v>Pendente</x:v>
      </x:c>
      <x:c r="H2" s="61" t="str">
        <x:v>Pendente</x:v>
      </x:c>
      <x:c r="I2" s="61" t="str">
        <x:v>Pendente</x:v>
      </x:c>
      <x:c r="J2" s="61" t="str">
        <x:v>Pendente</x:v>
      </x:c>
      <x:c r="K2" s="61" t="str">
        <x:v>Não iniciado</x:v>
      </x:c>
      <x:c r="L2" s="84" t="n">
        <x:v>46279</x:v>
      </x:c>
      <x:c r="M2" s="64" t="str"/>
      <x:c r="N2" s="61" t="str"/>
      <x:c r="O2" s="61"/>
      <x:c r="P2" s="61"/>
      <x:c r="Q2" s="61"/>
    </x:row>
    <x:row r="3">
      <x:c r="A3" s="61" t="str">
        <x:v>TST-002</x:v>
      </x:c>
      <x:c r="B3" s="61" t="str">
        <x:v>Perfis</x:v>
      </x:c>
      <x:c r="C3" s="64" t="str">
        <x:v>Testar administrador e perfis operacionais usados no lançamento</x:v>
      </x:c>
      <x:c r="D3" s="64" t="str">
        <x:v>Dados de teste preparados e usuário autenticado</x:v>
      </x:c>
      <x:c r="E3" s="64" t="str">
        <x:v>Executar cenário do início ao fim sem corrigir dados manualmente.</x:v>
      </x:c>
      <x:c r="F3" s="64" t="str">
        <x:v>Cada perfil acessa somente o necessário sem bloquear operação esperada.</x:v>
      </x:c>
      <x:c r="G3" s="61" t="str">
        <x:v>Pendente</x:v>
      </x:c>
      <x:c r="H3" s="61" t="str">
        <x:v>Pendente</x:v>
      </x:c>
      <x:c r="I3" s="61" t="str">
        <x:v>Pendente</x:v>
      </x:c>
      <x:c r="J3" s="61" t="str">
        <x:v>Pendente</x:v>
      </x:c>
      <x:c r="K3" s="61" t="str">
        <x:v>Não iniciado</x:v>
      </x:c>
      <x:c r="L3" s="84" t="n">
        <x:v>46279</x:v>
      </x:c>
      <x:c r="M3" s="64" t="str"/>
      <x:c r="N3" s="61" t="str"/>
      <x:c r="O3" s="61"/>
      <x:c r="P3" s="61"/>
      <x:c r="Q3" s="61"/>
    </x:row>
    <x:row r="4">
      <x:c r="A4" s="61" t="str">
        <x:v>TST-003</x:v>
      </x:c>
      <x:c r="B4" s="61" t="str">
        <x:v>Produtos</x:v>
      </x:c>
      <x:c r="C4" s="64" t="str">
        <x:v>Cadastrar/editar/inativar/reativar produto</x:v>
      </x:c>
      <x:c r="D4" s="64" t="str">
        <x:v>Dados de teste preparados e usuário autenticado</x:v>
      </x:c>
      <x:c r="E4" s="64" t="str">
        <x:v>Executar cenário do início ao fim sem corrigir dados manualmente.</x:v>
      </x:c>
      <x:c r="F4" s="64" t="str">
        <x:v>Todas as alterações persistem e refletem no PDV/catalogo.</x:v>
      </x:c>
      <x:c r="G4" s="61" t="str">
        <x:v>Pendente</x:v>
      </x:c>
      <x:c r="H4" s="61" t="str">
        <x:v>Pendente</x:v>
      </x:c>
      <x:c r="I4" s="61" t="str">
        <x:v>Pendente</x:v>
      </x:c>
      <x:c r="J4" s="61" t="str">
        <x:v>Pendente</x:v>
      </x:c>
      <x:c r="K4" s="61" t="str">
        <x:v>Não iniciado</x:v>
      </x:c>
      <x:c r="L4" s="84" t="n">
        <x:v>46279</x:v>
      </x:c>
      <x:c r="M4" s="64" t="str"/>
      <x:c r="N4" s="61" t="str"/>
      <x:c r="O4" s="61"/>
      <x:c r="P4" s="61"/>
      <x:c r="Q4" s="61"/>
    </x:row>
    <x:row r="5">
      <x:c r="A5" s="61" t="str">
        <x:v>TST-004</x:v>
      </x:c>
      <x:c r="B5" s="61" t="str">
        <x:v>Clientes</x:v>
      </x:c>
      <x:c r="C5" s="64" t="str">
        <x:v>Cadastrar/editar cliente com e sem fiado</x:v>
      </x:c>
      <x:c r="D5" s="64" t="str">
        <x:v>Dados de teste preparados e usuário autenticado</x:v>
      </x:c>
      <x:c r="E5" s="64" t="str">
        <x:v>Executar cenário do início ao fim sem corrigir dados manualmente.</x:v>
      </x:c>
      <x:c r="F5" s="64" t="str">
        <x:v>Dados persistem; regras de fiado são respeitadas.</x:v>
      </x:c>
      <x:c r="G5" s="61" t="str">
        <x:v>Pendente</x:v>
      </x:c>
      <x:c r="H5" s="61" t="str">
        <x:v>Pendente</x:v>
      </x:c>
      <x:c r="I5" s="61" t="str">
        <x:v>Pendente</x:v>
      </x:c>
      <x:c r="J5" s="61" t="str">
        <x:v>Pendente</x:v>
      </x:c>
      <x:c r="K5" s="61" t="str">
        <x:v>Não iniciado</x:v>
      </x:c>
      <x:c r="L5" s="84" t="n">
        <x:v>46279</x:v>
      </x:c>
      <x:c r="M5" s="64" t="str"/>
      <x:c r="N5" s="61" t="str"/>
      <x:c r="O5" s="61"/>
      <x:c r="P5" s="61"/>
      <x:c r="Q5" s="61"/>
    </x:row>
    <x:row r="6">
      <x:c r="A6" s="61" t="str">
        <x:v>TST-005</x:v>
      </x:c>
      <x:c r="B6" s="61" t="str">
        <x:v>Venda</x:v>
      </x:c>
      <x:c r="C6" s="64" t="str">
        <x:v>Venda dinheiro Web</x:v>
      </x:c>
      <x:c r="D6" s="64" t="str">
        <x:v>Dados de teste preparados e usuário autenticado</x:v>
      </x:c>
      <x:c r="E6" s="64" t="str">
        <x:v>Executar cenário do início ao fim sem corrigir dados manualmente.</x:v>
      </x:c>
      <x:c r="F6" s="64" t="str">
        <x:v>Venda, estoque, pagamentos, recibo e Vendas corretos.</x:v>
      </x:c>
      <x:c r="G6" s="61" t="str">
        <x:v>Pendente</x:v>
      </x:c>
      <x:c r="H6" s="61" t="str">
        <x:v>Pendente</x:v>
      </x:c>
      <x:c r="I6" s="61" t="str">
        <x:v>Pendente</x:v>
      </x:c>
      <x:c r="J6" s="61" t="str">
        <x:v>Pendente</x:v>
      </x:c>
      <x:c r="K6" s="61" t="str">
        <x:v>Não iniciado</x:v>
      </x:c>
      <x:c r="L6" s="84" t="n">
        <x:v>46279</x:v>
      </x:c>
      <x:c r="M6" s="64" t="str"/>
      <x:c r="N6" s="61" t="str"/>
      <x:c r="O6" s="61"/>
      <x:c r="P6" s="61"/>
      <x:c r="Q6" s="61"/>
    </x:row>
    <x:row r="7">
      <x:c r="A7" s="61" t="str">
        <x:v>TST-006</x:v>
      </x:c>
      <x:c r="B7" s="61" t="str">
        <x:v>Venda</x:v>
      </x:c>
      <x:c r="C7" s="64" t="str">
        <x:v>Venda dinheiro iPhone</x:v>
      </x:c>
      <x:c r="D7" s="64" t="str">
        <x:v>Dados de teste preparados e usuário autenticado</x:v>
      </x:c>
      <x:c r="E7" s="64" t="str">
        <x:v>Executar cenário do início ao fim sem corrigir dados manualmente.</x:v>
      </x:c>
      <x:c r="F7" s="64" t="str">
        <x:v>Mesmo resultado do Web.</x:v>
      </x:c>
      <x:c r="G7" s="61" t="str">
        <x:v>Pendente</x:v>
      </x:c>
      <x:c r="H7" s="61" t="str">
        <x:v>Pendente</x:v>
      </x:c>
      <x:c r="I7" s="61" t="str">
        <x:v>Pendente</x:v>
      </x:c>
      <x:c r="J7" s="61" t="str">
        <x:v>Pendente</x:v>
      </x:c>
      <x:c r="K7" s="61" t="str">
        <x:v>Não iniciado</x:v>
      </x:c>
      <x:c r="L7" s="84" t="n">
        <x:v>46279</x:v>
      </x:c>
      <x:c r="M7" s="64" t="str"/>
      <x:c r="N7" s="61" t="str"/>
      <x:c r="O7" s="61"/>
      <x:c r="P7" s="61"/>
      <x:c r="Q7" s="61"/>
    </x:row>
    <x:row r="8">
      <x:c r="A8" s="61" t="str">
        <x:v>TST-007</x:v>
      </x:c>
      <x:c r="B8" s="61" t="str">
        <x:v>Venda</x:v>
      </x:c>
      <x:c r="C8" s="64" t="str">
        <x:v>Venda PIX</x:v>
      </x:c>
      <x:c r="D8" s="64" t="str">
        <x:v>Dados de teste preparados e usuário autenticado</x:v>
      </x:c>
      <x:c r="E8" s="64" t="str">
        <x:v>Executar cenário do início ao fim sem corrigir dados manualmente.</x:v>
      </x:c>
      <x:c r="F8" s="64" t="str">
        <x:v>Cobrança/registro e finalização sem duplicidade.</x:v>
      </x:c>
      <x:c r="G8" s="61" t="str">
        <x:v>Pendente</x:v>
      </x:c>
      <x:c r="H8" s="61" t="str">
        <x:v>Pendente</x:v>
      </x:c>
      <x:c r="I8" s="61" t="str">
        <x:v>Pendente</x:v>
      </x:c>
      <x:c r="J8" s="61" t="str">
        <x:v>Pendente</x:v>
      </x:c>
      <x:c r="K8" s="61" t="str">
        <x:v>Não iniciado</x:v>
      </x:c>
      <x:c r="L8" s="84" t="n">
        <x:v>46280</x:v>
      </x:c>
      <x:c r="M8" s="64" t="str"/>
      <x:c r="N8" s="61" t="str"/>
      <x:c r="O8" s="61"/>
      <x:c r="P8" s="61"/>
      <x:c r="Q8" s="61"/>
    </x:row>
    <x:row r="9">
      <x:c r="A9" s="61" t="str">
        <x:v>TST-008</x:v>
      </x:c>
      <x:c r="B9" s="61" t="str">
        <x:v>Venda</x:v>
      </x:c>
      <x:c r="C9" s="64" t="str">
        <x:v>Venda cartão débito</x:v>
      </x:c>
      <x:c r="D9" s="64" t="str">
        <x:v>Dados de teste preparados e usuário autenticado</x:v>
      </x:c>
      <x:c r="E9" s="64" t="str">
        <x:v>Executar cenário do início ao fim sem corrigir dados manualmente.</x:v>
      </x:c>
      <x:c r="F9" s="64" t="str">
        <x:v>Pagamento e fiscal válidos.</x:v>
      </x:c>
      <x:c r="G9" s="61" t="str">
        <x:v>Pendente</x:v>
      </x:c>
      <x:c r="H9" s="61" t="str">
        <x:v>Pendente</x:v>
      </x:c>
      <x:c r="I9" s="61" t="str">
        <x:v>Pendente</x:v>
      </x:c>
      <x:c r="J9" s="61" t="str">
        <x:v>Pendente</x:v>
      </x:c>
      <x:c r="K9" s="61" t="str">
        <x:v>Não iniciado</x:v>
      </x:c>
      <x:c r="L9" s="84" t="n">
        <x:v>46280</x:v>
      </x:c>
      <x:c r="M9" s="64" t="str"/>
      <x:c r="N9" s="61" t="str"/>
      <x:c r="O9" s="61"/>
      <x:c r="P9" s="61"/>
      <x:c r="Q9" s="61"/>
    </x:row>
    <x:row r="10">
      <x:c r="A10" s="61" t="str">
        <x:v>TST-009</x:v>
      </x:c>
      <x:c r="B10" s="61" t="str">
        <x:v>Venda</x:v>
      </x:c>
      <x:c r="C10" s="64" t="str">
        <x:v>Venda cartão crédito</x:v>
      </x:c>
      <x:c r="D10" s="64" t="str">
        <x:v>Dados de teste preparados e usuário autenticado</x:v>
      </x:c>
      <x:c r="E10" s="64" t="str">
        <x:v>Executar cenário do início ao fim sem corrigir dados manualmente.</x:v>
      </x:c>
      <x:c r="F10" s="64" t="str">
        <x:v>Pagamento e fiscal válidos.</x:v>
      </x:c>
      <x:c r="G10" s="61" t="str">
        <x:v>Pendente</x:v>
      </x:c>
      <x:c r="H10" s="61" t="str">
        <x:v>Pendente</x:v>
      </x:c>
      <x:c r="I10" s="61" t="str">
        <x:v>Pendente</x:v>
      </x:c>
      <x:c r="J10" s="61" t="str">
        <x:v>Pendente</x:v>
      </x:c>
      <x:c r="K10" s="61" t="str">
        <x:v>Não iniciado</x:v>
      </x:c>
      <x:c r="L10" s="84" t="n">
        <x:v>46280</x:v>
      </x:c>
      <x:c r="M10" s="64" t="str"/>
      <x:c r="N10" s="61" t="str"/>
      <x:c r="O10" s="61"/>
      <x:c r="P10" s="61"/>
      <x:c r="Q10" s="61"/>
    </x:row>
    <x:row r="11">
      <x:c r="A11" s="61" t="str">
        <x:v>TST-010</x:v>
      </x:c>
      <x:c r="B11" s="61" t="str">
        <x:v>Venda</x:v>
      </x:c>
      <x:c r="C11" s="64" t="str">
        <x:v>Venda fiado</x:v>
      </x:c>
      <x:c r="D11" s="64" t="str">
        <x:v>Dados de teste preparados e usuário autenticado</x:v>
      </x:c>
      <x:c r="E11" s="64" t="str">
        <x:v>Executar cenário do início ao fim sem corrigir dados manualmente.</x:v>
      </x:c>
      <x:c r="F11" s="64" t="str">
        <x:v>Carteira criada corretamente em Web e Mobile.</x:v>
      </x:c>
      <x:c r="G11" s="61" t="str">
        <x:v>Pendente</x:v>
      </x:c>
      <x:c r="H11" s="61" t="str">
        <x:v>Pendente</x:v>
      </x:c>
      <x:c r="I11" s="61" t="str">
        <x:v>Pendente</x:v>
      </x:c>
      <x:c r="J11" s="61" t="str">
        <x:v>Pendente</x:v>
      </x:c>
      <x:c r="K11" s="61" t="str">
        <x:v>Não iniciado</x:v>
      </x:c>
      <x:c r="L11" s="84" t="n">
        <x:v>46280</x:v>
      </x:c>
      <x:c r="M11" s="64" t="str"/>
      <x:c r="N11" s="61" t="str"/>
      <x:c r="O11" s="61"/>
      <x:c r="P11" s="61"/>
      <x:c r="Q11" s="61"/>
    </x:row>
    <x:row r="12">
      <x:c r="A12" s="61" t="str">
        <x:v>TST-011</x:v>
      </x:c>
      <x:c r="B12" s="61" t="str">
        <x:v>Venda</x:v>
      </x:c>
      <x:c r="C12" s="64" t="str">
        <x:v>Pagamento combinado</x:v>
      </x:c>
      <x:c r="D12" s="64" t="str">
        <x:v>Dados de teste preparados e usuário autenticado</x:v>
      </x:c>
      <x:c r="E12" s="64" t="str">
        <x:v>Executar cenário do início ao fim sem corrigir dados manualmente.</x:v>
      </x:c>
      <x:c r="F12" s="64" t="str">
        <x:v>Editar valores e finalizar com soma exata.</x:v>
      </x:c>
      <x:c r="G12" s="61" t="str">
        <x:v>Pendente</x:v>
      </x:c>
      <x:c r="H12" s="61" t="str">
        <x:v>Pendente</x:v>
      </x:c>
      <x:c r="I12" s="61" t="str">
        <x:v>Pendente</x:v>
      </x:c>
      <x:c r="J12" s="61" t="str">
        <x:v>Pendente</x:v>
      </x:c>
      <x:c r="K12" s="61" t="str">
        <x:v>Não iniciado</x:v>
      </x:c>
      <x:c r="L12" s="84" t="n">
        <x:v>46280</x:v>
      </x:c>
      <x:c r="M12" s="64" t="str"/>
      <x:c r="N12" s="61" t="str"/>
      <x:c r="O12" s="61"/>
      <x:c r="P12" s="61"/>
      <x:c r="Q12" s="61"/>
    </x:row>
    <x:row r="13">
      <x:c r="A13" s="61" t="str">
        <x:v>TST-012</x:v>
      </x:c>
      <x:c r="B13" s="61" t="str">
        <x:v>Carteira</x:v>
      </x:c>
      <x:c r="C13" s="64" t="str">
        <x:v>Baixa total</x:v>
      </x:c>
      <x:c r="D13" s="64" t="str">
        <x:v>Dados de teste preparados e usuário autenticado</x:v>
      </x:c>
      <x:c r="E13" s="64" t="str">
        <x:v>Executar cenário do início ao fim sem corrigir dados manualmente.</x:v>
      </x:c>
      <x:c r="F13" s="64" t="str">
        <x:v>Saldo vai a zero e histórico permanece.</x:v>
      </x:c>
      <x:c r="G13" s="61" t="str">
        <x:v>Pendente</x:v>
      </x:c>
      <x:c r="H13" s="61" t="str">
        <x:v>Pendente</x:v>
      </x:c>
      <x:c r="I13" s="61" t="str">
        <x:v>Pendente</x:v>
      </x:c>
      <x:c r="J13" s="61" t="str">
        <x:v>Pendente</x:v>
      </x:c>
      <x:c r="K13" s="61" t="str">
        <x:v>Não iniciado</x:v>
      </x:c>
      <x:c r="L13" s="84" t="n">
        <x:v>46280</x:v>
      </x:c>
      <x:c r="M13" s="64" t="str"/>
      <x:c r="N13" s="61" t="str"/>
      <x:c r="O13" s="61"/>
      <x:c r="P13" s="61"/>
      <x:c r="Q13" s="61"/>
    </x:row>
    <x:row r="14">
      <x:c r="A14" s="61" t="str">
        <x:v>TST-013</x:v>
      </x:c>
      <x:c r="B14" s="61" t="str">
        <x:v>Carteira</x:v>
      </x:c>
      <x:c r="C14" s="64" t="str">
        <x:v>Baixa parcial</x:v>
      </x:c>
      <x:c r="D14" s="64" t="str">
        <x:v>Dados de teste preparados e usuário autenticado</x:v>
      </x:c>
      <x:c r="E14" s="64" t="str">
        <x:v>Executar cenário do início ao fim sem corrigir dados manualmente.</x:v>
      </x:c>
      <x:c r="F14" s="64" t="str">
        <x:v>Saldo restante igual em Web/Mobile.</x:v>
      </x:c>
      <x:c r="G14" s="61" t="str">
        <x:v>Pendente</x:v>
      </x:c>
      <x:c r="H14" s="61" t="str">
        <x:v>Pendente</x:v>
      </x:c>
      <x:c r="I14" s="61" t="str">
        <x:v>Pendente</x:v>
      </x:c>
      <x:c r="J14" s="61" t="str">
        <x:v>Pendente</x:v>
      </x:c>
      <x:c r="K14" s="61" t="str">
        <x:v>Não iniciado</x:v>
      </x:c>
      <x:c r="L14" s="84" t="n">
        <x:v>46281</x:v>
      </x:c>
      <x:c r="M14" s="64" t="str"/>
      <x:c r="N14" s="61" t="str"/>
      <x:c r="O14" s="61"/>
      <x:c r="P14" s="61"/>
      <x:c r="Q14" s="61"/>
    </x:row>
    <x:row r="15">
      <x:c r="A15" s="61" t="str">
        <x:v>TST-014</x:v>
      </x:c>
      <x:c r="B15" s="61" t="str">
        <x:v>Carteira</x:v>
      </x:c>
      <x:c r="C15" s="64" t="str">
        <x:v>Baixa por itens selecionados</x:v>
      </x:c>
      <x:c r="D15" s="64" t="str">
        <x:v>Dados de teste preparados e usuário autenticado</x:v>
      </x:c>
      <x:c r="E15" s="64" t="str">
        <x:v>Executar cenário do início ao fim sem corrigir dados manualmente.</x:v>
      </x:c>
      <x:c r="F15" s="64" t="str">
        <x:v>Somente itens escolhidos são baixados.</x:v>
      </x:c>
      <x:c r="G15" s="61" t="str">
        <x:v>Pendente</x:v>
      </x:c>
      <x:c r="H15" s="61" t="str">
        <x:v>Pendente</x:v>
      </x:c>
      <x:c r="I15" s="61" t="str">
        <x:v>Pendente</x:v>
      </x:c>
      <x:c r="J15" s="61" t="str">
        <x:v>Pendente</x:v>
      </x:c>
      <x:c r="K15" s="61" t="str">
        <x:v>Não iniciado</x:v>
      </x:c>
      <x:c r="L15" s="84" t="n">
        <x:v>46281</x:v>
      </x:c>
      <x:c r="M15" s="64" t="str"/>
      <x:c r="N15" s="61" t="str"/>
      <x:c r="O15" s="61"/>
      <x:c r="P15" s="61"/>
      <x:c r="Q15" s="61"/>
    </x:row>
    <x:row r="16">
      <x:c r="A16" s="61" t="str">
        <x:v>TST-015</x:v>
      </x:c>
      <x:c r="B16" s="61" t="str">
        <x:v>Carteira</x:v>
      </x:c>
      <x:c r="C16" s="64" t="str">
        <x:v>Estorno de recebimento</x:v>
      </x:c>
      <x:c r="D16" s="64" t="str">
        <x:v>Dados de teste preparados e usuário autenticado</x:v>
      </x:c>
      <x:c r="E16" s="64" t="str">
        <x:v>Executar cenário do início ao fim sem corrigir dados manualmente.</x:v>
      </x:c>
      <x:c r="F16" s="64" t="str">
        <x:v>Saldo/histórico restaurados corretamente.</x:v>
      </x:c>
      <x:c r="G16" s="61" t="str">
        <x:v>Pendente</x:v>
      </x:c>
      <x:c r="H16" s="61" t="str">
        <x:v>Pendente</x:v>
      </x:c>
      <x:c r="I16" s="61" t="str">
        <x:v>Pendente</x:v>
      </x:c>
      <x:c r="J16" s="61" t="str">
        <x:v>Pendente</x:v>
      </x:c>
      <x:c r="K16" s="61" t="str">
        <x:v>Não iniciado</x:v>
      </x:c>
      <x:c r="L16" s="84" t="n">
        <x:v>46281</x:v>
      </x:c>
      <x:c r="M16" s="64" t="str"/>
      <x:c r="N16" s="61" t="str"/>
      <x:c r="O16" s="61"/>
      <x:c r="P16" s="61"/>
      <x:c r="Q16" s="61"/>
    </x:row>
    <x:row r="17">
      <x:c r="A17" s="61" t="str">
        <x:v>TST-016</x:v>
      </x:c>
      <x:c r="B17" s="61" t="str">
        <x:v>Carteira</x:v>
      </x:c>
      <x:c r="C17" s="64" t="str">
        <x:v>Cancelamento de item</x:v>
      </x:c>
      <x:c r="D17" s="64" t="str">
        <x:v>Dados de teste preparados e usuário autenticado</x:v>
      </x:c>
      <x:c r="E17" s="64" t="str">
        <x:v>Executar cenário do início ao fim sem corrigir dados manualmente.</x:v>
      </x:c>
      <x:c r="F17" s="64" t="str">
        <x:v>Saldo/estoque ajustados conforme regra.</x:v>
      </x:c>
      <x:c r="G17" s="61" t="str">
        <x:v>Pendente</x:v>
      </x:c>
      <x:c r="H17" s="61" t="str">
        <x:v>Pendente</x:v>
      </x:c>
      <x:c r="I17" s="61" t="str">
        <x:v>Pendente</x:v>
      </x:c>
      <x:c r="J17" s="61" t="str">
        <x:v>Pendente</x:v>
      </x:c>
      <x:c r="K17" s="61" t="str">
        <x:v>Não iniciado</x:v>
      </x:c>
      <x:c r="L17" s="84" t="n">
        <x:v>46281</x:v>
      </x:c>
      <x:c r="M17" s="64" t="str"/>
      <x:c r="N17" s="61" t="str"/>
      <x:c r="O17" s="61"/>
      <x:c r="P17" s="61"/>
      <x:c r="Q17" s="61"/>
    </x:row>
    <x:row r="18">
      <x:c r="A18" s="61" t="str">
        <x:v>TST-017</x:v>
      </x:c>
      <x:c r="B18" s="61" t="str">
        <x:v>Vendas</x:v>
      </x:c>
      <x:c r="C18" s="64" t="str">
        <x:v>Pesquisa e filtros de período</x:v>
      </x:c>
      <x:c r="D18" s="64" t="str">
        <x:v>Dados de teste preparados e usuário autenticado</x:v>
      </x:c>
      <x:c r="E18" s="64" t="str">
        <x:v>Executar cenário do início ao fim sem corrigir dados manualmente.</x:v>
      </x:c>
      <x:c r="F18" s="64" t="str">
        <x:v>Resultados e total corretos.</x:v>
      </x:c>
      <x:c r="G18" s="61" t="str">
        <x:v>Pendente</x:v>
      </x:c>
      <x:c r="H18" s="61" t="str">
        <x:v>Pendente</x:v>
      </x:c>
      <x:c r="I18" s="61" t="str">
        <x:v>Pendente</x:v>
      </x:c>
      <x:c r="J18" s="61" t="str">
        <x:v>Pendente</x:v>
      </x:c>
      <x:c r="K18" s="61" t="str">
        <x:v>Não iniciado</x:v>
      </x:c>
      <x:c r="L18" s="84" t="n">
        <x:v>46281</x:v>
      </x:c>
      <x:c r="M18" s="64" t="str"/>
      <x:c r="N18" s="61" t="str"/>
      <x:c r="O18" s="61"/>
      <x:c r="P18" s="61"/>
      <x:c r="Q18" s="61"/>
    </x:row>
    <x:row r="19">
      <x:c r="A19" s="61" t="str">
        <x:v>TST-018</x:v>
      </x:c>
      <x:c r="B19" s="61" t="str">
        <x:v>Recibo</x:v>
      </x:c>
      <x:c r="C19" s="64" t="str">
        <x:v>Compartilhar recibo pós-venda iPhone</x:v>
      </x:c>
      <x:c r="D19" s="64" t="str">
        <x:v>Dados de teste preparados e usuário autenticado</x:v>
      </x:c>
      <x:c r="E19" s="64" t="str">
        <x:v>Executar cenário do início ao fim sem corrigir dados manualmente.</x:v>
      </x:c>
      <x:c r="F19" s="64" t="str">
        <x:v>Share sheet abre PDF válido.</x:v>
      </x:c>
      <x:c r="G19" s="61" t="str">
        <x:v>Pendente</x:v>
      </x:c>
      <x:c r="H19" s="61" t="str">
        <x:v>Pendente</x:v>
      </x:c>
      <x:c r="I19" s="61" t="str">
        <x:v>Pendente</x:v>
      </x:c>
      <x:c r="J19" s="61" t="str">
        <x:v>Pendente</x:v>
      </x:c>
      <x:c r="K19" s="61" t="str">
        <x:v>Não iniciado</x:v>
      </x:c>
      <x:c r="L19" s="84" t="n">
        <x:v>46281</x:v>
      </x:c>
      <x:c r="M19" s="64" t="str"/>
      <x:c r="N19" s="61" t="str"/>
      <x:c r="O19" s="61"/>
      <x:c r="P19" s="61"/>
      <x:c r="Q19" s="61"/>
    </x:row>
    <x:row r="20">
      <x:c r="A20" s="61" t="str">
        <x:v>TST-019</x:v>
      </x:c>
      <x:c r="B20" s="61" t="str">
        <x:v>Recibo</x:v>
      </x:c>
      <x:c r="C20" s="64" t="str">
        <x:v>Compartilhar recibo de venda antiga</x:v>
      </x:c>
      <x:c r="D20" s="64" t="str">
        <x:v>Dados de teste preparados e usuário autenticado</x:v>
      </x:c>
      <x:c r="E20" s="64" t="str">
        <x:v>Executar cenário do início ao fim sem corrigir dados manualmente.</x:v>
      </x:c>
      <x:c r="F20" s="64" t="str">
        <x:v>Não refinaliza nem altera venda.</x:v>
      </x:c>
      <x:c r="G20" s="61" t="str">
        <x:v>Pendente</x:v>
      </x:c>
      <x:c r="H20" s="61" t="str">
        <x:v>Pendente</x:v>
      </x:c>
      <x:c r="I20" s="61" t="str">
        <x:v>Pendente</x:v>
      </x:c>
      <x:c r="J20" s="61" t="str">
        <x:v>Pendente</x:v>
      </x:c>
      <x:c r="K20" s="61" t="str">
        <x:v>Não iniciado</x:v>
      </x:c>
      <x:c r="L20" s="84" t="n">
        <x:v>46282</x:v>
      </x:c>
      <x:c r="M20" s="64" t="str"/>
      <x:c r="N20" s="61" t="str"/>
      <x:c r="O20" s="61"/>
      <x:c r="P20" s="61"/>
      <x:c r="Q20" s="61"/>
    </x:row>
    <x:row r="21">
      <x:c r="A21" s="61" t="str">
        <x:v>TST-020</x:v>
      </x:c>
      <x:c r="B21" s="61" t="str">
        <x:v>Estoque</x:v>
      </x:c>
      <x:c r="C21" s="64" t="str">
        <x:v>Venda com estoque limite</x:v>
      </x:c>
      <x:c r="D21" s="64" t="str">
        <x:v>Dados de teste preparados e usuário autenticado</x:v>
      </x:c>
      <x:c r="E21" s="64" t="str">
        <x:v>Executar cenário do início ao fim sem corrigir dados manualmente.</x:v>
      </x:c>
      <x:c r="F21" s="64" t="str">
        <x:v>Bloqueio/resultado conforme regra sem estoque negativo indevido.</x:v>
      </x:c>
      <x:c r="G21" s="61" t="str">
        <x:v>Pendente</x:v>
      </x:c>
      <x:c r="H21" s="61" t="str">
        <x:v>Pendente</x:v>
      </x:c>
      <x:c r="I21" s="61" t="str">
        <x:v>Pendente</x:v>
      </x:c>
      <x:c r="J21" s="61" t="str">
        <x:v>Pendente</x:v>
      </x:c>
      <x:c r="K21" s="61" t="str">
        <x:v>Não iniciado</x:v>
      </x:c>
      <x:c r="L21" s="84" t="n">
        <x:v>46282</x:v>
      </x:c>
      <x:c r="M21" s="64" t="str"/>
      <x:c r="N21" s="61" t="str"/>
      <x:c r="O21" s="61"/>
      <x:c r="P21" s="61"/>
      <x:c r="Q21" s="61"/>
    </x:row>
    <x:row r="22">
      <x:c r="A22" s="61" t="str">
        <x:v>TST-021</x:v>
      </x:c>
      <x:c r="B22" s="61" t="str">
        <x:v>Fiscal</x:v>
      </x:c>
      <x:c r="C22" s="64" t="str">
        <x:v>NFC-e autorizada</x:v>
      </x:c>
      <x:c r="D22" s="64" t="str">
        <x:v>Dados de teste preparados e usuário autenticado</x:v>
      </x:c>
      <x:c r="E22" s="64" t="str">
        <x:v>Executar cenário do início ao fim sem corrigir dados manualmente.</x:v>
      </x:c>
      <x:c r="F22" s="64" t="str">
        <x:v>Número, XML, protocolo e status corretos.</x:v>
      </x:c>
      <x:c r="G22" s="61" t="str">
        <x:v>Pendente</x:v>
      </x:c>
      <x:c r="H22" s="61" t="str">
        <x:v>Pendente</x:v>
      </x:c>
      <x:c r="I22" s="61" t="str">
        <x:v>Pendente</x:v>
      </x:c>
      <x:c r="J22" s="61" t="str">
        <x:v>Pendente</x:v>
      </x:c>
      <x:c r="K22" s="61" t="str">
        <x:v>Não iniciado</x:v>
      </x:c>
      <x:c r="L22" s="84" t="n">
        <x:v>46282</x:v>
      </x:c>
      <x:c r="M22" s="64" t="str"/>
      <x:c r="N22" s="61" t="str"/>
      <x:c r="O22" s="61"/>
      <x:c r="P22" s="61"/>
      <x:c r="Q22" s="61"/>
    </x:row>
    <x:row r="23">
      <x:c r="A23" s="61" t="str">
        <x:v>TST-022</x:v>
      </x:c>
      <x:c r="B23" s="61" t="str">
        <x:v>Fiscal</x:v>
      </x:c>
      <x:c r="C23" s="64" t="str">
        <x:v>NF-e autorizada</x:v>
      </x:c>
      <x:c r="D23" s="64" t="str">
        <x:v>Dados de teste preparados e usuário autenticado</x:v>
      </x:c>
      <x:c r="E23" s="64" t="str">
        <x:v>Executar cenário do início ao fim sem corrigir dados manualmente.</x:v>
      </x:c>
      <x:c r="F23" s="64" t="str">
        <x:v>Número, XML, protocolo e status corretos.</x:v>
      </x:c>
      <x:c r="G23" s="61" t="str">
        <x:v>Pendente</x:v>
      </x:c>
      <x:c r="H23" s="61" t="str">
        <x:v>Pendente</x:v>
      </x:c>
      <x:c r="I23" s="61" t="str">
        <x:v>Pendente</x:v>
      </x:c>
      <x:c r="J23" s="61" t="str">
        <x:v>Pendente</x:v>
      </x:c>
      <x:c r="K23" s="61" t="str">
        <x:v>Não iniciado</x:v>
      </x:c>
      <x:c r="L23" s="84" t="n">
        <x:v>46282</x:v>
      </x:c>
      <x:c r="M23" s="64" t="str"/>
      <x:c r="N23" s="61" t="str"/>
      <x:c r="O23" s="61"/>
      <x:c r="P23" s="61"/>
      <x:c r="Q23" s="61"/>
    </x:row>
    <x:row r="24">
      <x:c r="A24" s="61" t="str">
        <x:v>TST-023</x:v>
      </x:c>
      <x:c r="B24" s="61" t="str">
        <x:v>Fiscal</x:v>
      </x:c>
      <x:c r="C24" s="64" t="str">
        <x:v>Simular comunicação ambígua</x:v>
      </x:c>
      <x:c r="D24" s="64" t="str">
        <x:v>Dados de teste preparados e usuário autenticado</x:v>
      </x:c>
      <x:c r="E24" s="64" t="str">
        <x:v>Executar cenário do início ao fim sem corrigir dados manualmente.</x:v>
      </x:c>
      <x:c r="F24" s="64" t="str">
        <x:v>Estado aguardando reconciliação e nenhum reenvio automático.</x:v>
      </x:c>
      <x:c r="G24" s="61" t="str">
        <x:v>Pendente</x:v>
      </x:c>
      <x:c r="H24" s="61" t="str">
        <x:v>Pendente</x:v>
      </x:c>
      <x:c r="I24" s="61" t="str">
        <x:v>Pendente</x:v>
      </x:c>
      <x:c r="J24" s="61" t="str">
        <x:v>Pendente</x:v>
      </x:c>
      <x:c r="K24" s="61" t="str">
        <x:v>Não iniciado</x:v>
      </x:c>
      <x:c r="L24" s="84" t="n">
        <x:v>46282</x:v>
      </x:c>
      <x:c r="M24" s="64" t="str"/>
      <x:c r="N24" s="61" t="str"/>
      <x:c r="O24" s="61"/>
      <x:c r="P24" s="61"/>
      <x:c r="Q24" s="61"/>
    </x:row>
    <x:row r="25">
      <x:c r="A25" s="61" t="str">
        <x:v>TST-024</x:v>
      </x:c>
      <x:c r="B25" s="61" t="str">
        <x:v>Fiscal</x:v>
      </x:c>
      <x:c r="C25" s="64" t="str">
        <x:v>Cancelamento fiscal</x:v>
      </x:c>
      <x:c r="D25" s="64" t="str">
        <x:v>Dados de teste preparados e usuário autenticado</x:v>
      </x:c>
      <x:c r="E25" s="64" t="str">
        <x:v>Executar cenário do início ao fim sem corrigir dados manualmente.</x:v>
      </x:c>
      <x:c r="F25" s="64" t="str">
        <x:v>Evento e reflexos esperados.</x:v>
      </x:c>
      <x:c r="G25" s="61" t="str">
        <x:v>Pendente</x:v>
      </x:c>
      <x:c r="H25" s="61" t="str">
        <x:v>Pendente</x:v>
      </x:c>
      <x:c r="I25" s="61" t="str">
        <x:v>Pendente</x:v>
      </x:c>
      <x:c r="J25" s="61" t="str">
        <x:v>Pendente</x:v>
      </x:c>
      <x:c r="K25" s="61" t="str">
        <x:v>Não iniciado</x:v>
      </x:c>
      <x:c r="L25" s="84" t="n">
        <x:v>46282</x:v>
      </x:c>
      <x:c r="M25" s="64" t="str"/>
      <x:c r="N25" s="61" t="str"/>
      <x:c r="O25" s="61"/>
      <x:c r="P25" s="61"/>
      <x:c r="Q25" s="61"/>
    </x:row>
    <x:row r="26">
      <x:c r="A26" s="61" t="str">
        <x:v>TST-025</x:v>
      </x:c>
      <x:c r="B26" s="61" t="str">
        <x:v>Impressão</x:v>
      </x:c>
      <x:c r="C26" s="64" t="str">
        <x:v>Imprimir recibo em impressora selecionada</x:v>
      </x:c>
      <x:c r="D26" s="64" t="str">
        <x:v>Dados de teste preparados e usuário autenticado</x:v>
      </x:c>
      <x:c r="E26" s="64" t="str">
        <x:v>Executar cenário do início ao fim sem corrigir dados manualmente.</x:v>
      </x:c>
      <x:c r="F26" s="64" t="str">
        <x:v>Sai na impressora escolhida.</x:v>
      </x:c>
      <x:c r="G26" s="61" t="str">
        <x:v>Pendente</x:v>
      </x:c>
      <x:c r="H26" s="61" t="str">
        <x:v>Pendente</x:v>
      </x:c>
      <x:c r="I26" s="61" t="str">
        <x:v>Pendente</x:v>
      </x:c>
      <x:c r="J26" s="61" t="str">
        <x:v>Pendente</x:v>
      </x:c>
      <x:c r="K26" s="61" t="str">
        <x:v>Não iniciado</x:v>
      </x:c>
      <x:c r="L26" s="84" t="n">
        <x:v>46283</x:v>
      </x:c>
      <x:c r="M26" s="64" t="str"/>
      <x:c r="N26" s="61" t="str"/>
      <x:c r="O26" s="61"/>
      <x:c r="P26" s="61"/>
      <x:c r="Q26" s="61"/>
    </x:row>
    <x:row r="27">
      <x:c r="A27" s="61" t="str">
        <x:v>TST-026</x:v>
      </x:c>
      <x:c r="B27" s="61" t="str">
        <x:v>Rede</x:v>
      </x:c>
      <x:c r="C27" s="64" t="str">
        <x:v>Desligar rede durante finalização mobile</x:v>
      </x:c>
      <x:c r="D27" s="64" t="str">
        <x:v>Dados de teste preparados e usuário autenticado</x:v>
      </x:c>
      <x:c r="E27" s="64" t="str">
        <x:v>Executar cenário do início ao fim sem corrigir dados manualmente.</x:v>
      </x:c>
      <x:c r="F27" s="64" t="str">
        <x:v>Não duplica venda; recuperação controlada.</x:v>
      </x:c>
      <x:c r="G27" s="61" t="str">
        <x:v>Pendente</x:v>
      </x:c>
      <x:c r="H27" s="61" t="str">
        <x:v>Pendente</x:v>
      </x:c>
      <x:c r="I27" s="61" t="str">
        <x:v>Pendente</x:v>
      </x:c>
      <x:c r="J27" s="61" t="str">
        <x:v>Pendente</x:v>
      </x:c>
      <x:c r="K27" s="61" t="str">
        <x:v>Não iniciado</x:v>
      </x:c>
      <x:c r="L27" s="84" t="n">
        <x:v>46283</x:v>
      </x:c>
      <x:c r="M27" s="64" t="str"/>
      <x:c r="N27" s="61" t="str"/>
      <x:c r="O27" s="61"/>
      <x:c r="P27" s="61"/>
      <x:c r="Q27" s="61"/>
    </x:row>
    <x:row r="28">
      <x:c r="A28" s="61" t="str">
        <x:v>TST-027</x:v>
      </x:c>
      <x:c r="B28" s="61" t="str">
        <x:v>Rede</x:v>
      </x:c>
      <x:c r="C28" s="64" t="str">
        <x:v>Fechar app durante finalização</x:v>
      </x:c>
      <x:c r="D28" s="64" t="str">
        <x:v>Dados de teste preparados e usuário autenticado</x:v>
      </x:c>
      <x:c r="E28" s="64" t="str">
        <x:v>Executar cenário do início ao fim sem corrigir dados manualmente.</x:v>
      </x:c>
      <x:c r="F28" s="64" t="str">
        <x:v>Reabertura não cria venda duplicada.</x:v>
      </x:c>
      <x:c r="G28" s="61" t="str">
        <x:v>Pendente</x:v>
      </x:c>
      <x:c r="H28" s="61" t="str">
        <x:v>Pendente</x:v>
      </x:c>
      <x:c r="I28" s="61" t="str">
        <x:v>Pendente</x:v>
      </x:c>
      <x:c r="J28" s="61" t="str">
        <x:v>Pendente</x:v>
      </x:c>
      <x:c r="K28" s="61" t="str">
        <x:v>Não iniciado</x:v>
      </x:c>
      <x:c r="L28" s="84" t="n">
        <x:v>46283</x:v>
      </x:c>
      <x:c r="M28" s="64" t="str"/>
      <x:c r="N28" s="61" t="str"/>
      <x:c r="O28" s="61"/>
      <x:c r="P28" s="61"/>
      <x:c r="Q28" s="61"/>
    </x:row>
    <x:row r="29">
      <x:c r="A29" s="61" t="str">
        <x:v>TST-028</x:v>
      </x:c>
      <x:c r="B29" s="61" t="str">
        <x:v>Idempotência</x:v>
      </x:c>
      <x:c r="C29" s="64" t="str">
        <x:v>Tocar duas vezes em finalizar</x:v>
      </x:c>
      <x:c r="D29" s="64" t="str">
        <x:v>Dados de teste preparados e usuário autenticado</x:v>
      </x:c>
      <x:c r="E29" s="64" t="str">
        <x:v>Executar cenário do início ao fim sem corrigir dados manualmente.</x:v>
      </x:c>
      <x:c r="F29" s="64" t="str">
        <x:v>Uma única venda é criada.</x:v>
      </x:c>
      <x:c r="G29" s="61" t="str">
        <x:v>Pendente</x:v>
      </x:c>
      <x:c r="H29" s="61" t="str">
        <x:v>Pendente</x:v>
      </x:c>
      <x:c r="I29" s="61" t="str">
        <x:v>Pendente</x:v>
      </x:c>
      <x:c r="J29" s="61" t="str">
        <x:v>Pendente</x:v>
      </x:c>
      <x:c r="K29" s="61" t="str">
        <x:v>Não iniciado</x:v>
      </x:c>
      <x:c r="L29" s="84" t="n">
        <x:v>46283</x:v>
      </x:c>
      <x:c r="M29" s="64" t="str"/>
      <x:c r="N29" s="61" t="str"/>
      <x:c r="O29" s="61"/>
      <x:c r="P29" s="61"/>
      <x:c r="Q29" s="61"/>
    </x:row>
    <x:row r="30">
      <x:c r="A30" s="61" t="str">
        <x:v>TST-029</x:v>
      </x:c>
      <x:c r="B30" s="61" t="str">
        <x:v>Segurança</x:v>
      </x:c>
      <x:c r="C30" s="64" t="str">
        <x:v>Tentar acessar venda/recibo de outra empresa</x:v>
      </x:c>
      <x:c r="D30" s="64" t="str">
        <x:v>Dados de teste preparados e usuário autenticado</x:v>
      </x:c>
      <x:c r="E30" s="64" t="str">
        <x:v>Executar cenário do início ao fim sem corrigir dados manualmente.</x:v>
      </x:c>
      <x:c r="F30" s="64" t="str">
        <x:v>Acesso negado sem vazar dados.</x:v>
      </x:c>
      <x:c r="G30" s="61" t="str">
        <x:v>Pendente</x:v>
      </x:c>
      <x:c r="H30" s="61" t="str">
        <x:v>Pendente</x:v>
      </x:c>
      <x:c r="I30" s="61" t="str">
        <x:v>Pendente</x:v>
      </x:c>
      <x:c r="J30" s="61" t="str">
        <x:v>Pendente</x:v>
      </x:c>
      <x:c r="K30" s="61" t="str">
        <x:v>Não iniciado</x:v>
      </x:c>
      <x:c r="L30" s="84" t="n">
        <x:v>46283</x:v>
      </x:c>
      <x:c r="M30" s="64" t="str"/>
      <x:c r="N30" s="61" t="str"/>
      <x:c r="O30" s="61"/>
      <x:c r="P30" s="61"/>
      <x:c r="Q30" s="61"/>
    </x:row>
    <x:row r="31">
      <x:c r="A31" s="61" t="str">
        <x:v>TST-030</x:v>
      </x:c>
      <x:c r="B31" s="61" t="str">
        <x:v>Sessão</x:v>
      </x:c>
      <x:c r="C31" s="64" t="str">
        <x:v>Expirar sessão mobile</x:v>
      </x:c>
      <x:c r="D31" s="64" t="str">
        <x:v>Dados de teste preparados e usuário autenticado</x:v>
      </x:c>
      <x:c r="E31" s="64" t="str">
        <x:v>Executar cenário do início ao fim sem corrigir dados manualmente.</x:v>
      </x:c>
      <x:c r="F31" s="64" t="str">
        <x:v>App exige novo login sem comportamento inconsistente.</x:v>
      </x:c>
      <x:c r="G31" s="61" t="str">
        <x:v>Pendente</x:v>
      </x:c>
      <x:c r="H31" s="61" t="str">
        <x:v>Pendente</x:v>
      </x:c>
      <x:c r="I31" s="61" t="str">
        <x:v>Pendente</x:v>
      </x:c>
      <x:c r="J31" s="61" t="str">
        <x:v>Pendente</x:v>
      </x:c>
      <x:c r="K31" s="61" t="str">
        <x:v>Não iniciado</x:v>
      </x:c>
      <x:c r="L31" s="84" t="n">
        <x:v>46283</x:v>
      </x:c>
      <x:c r="M31" s="64" t="str"/>
      <x:c r="N31" s="61" t="str"/>
      <x:c r="O31" s="61"/>
      <x:c r="P31" s="61"/>
      <x:c r="Q31" s="61"/>
    </x:row>
    <x:row r="32">
      <x:c r="A32" s="61" t="str">
        <x:v>TST-031</x:v>
      </x:c>
      <x:c r="B32" s="61" t="str">
        <x:v>Importação</x:v>
      </x:c>
      <x:c r="C32" s="64" t="str">
        <x:v>Importar planilha com linhas válidas e inválidas</x:v>
      </x:c>
      <x:c r="D32" s="64" t="str">
        <x:v>Dados de teste preparados e usuário autenticado</x:v>
      </x:c>
      <x:c r="E32" s="64" t="str">
        <x:v>Executar cenário do início ao fim sem corrigir dados manualmente.</x:v>
      </x:c>
      <x:c r="F32" s="64" t="str">
        <x:v>Revisão clara; somente dados aprovados entram na empresa ativa.</x:v>
      </x:c>
      <x:c r="G32" s="61" t="str">
        <x:v>Pendente</x:v>
      </x:c>
      <x:c r="H32" s="61" t="str">
        <x:v>Pendente</x:v>
      </x:c>
      <x:c r="I32" s="61" t="str">
        <x:v>Pendente</x:v>
      </x:c>
      <x:c r="J32" s="61" t="str">
        <x:v>Pendente</x:v>
      </x:c>
      <x:c r="K32" s="61" t="str">
        <x:v>Não iniciado</x:v>
      </x:c>
      <x:c r="L32" s="84" t="n">
        <x:v>46284</x:v>
      </x:c>
      <x:c r="M32" s="64" t="str"/>
      <x:c r="N32" s="61" t="str"/>
      <x:c r="O32" s="61"/>
      <x:c r="P32" s="61"/>
      <x:c r="Q32" s="61"/>
    </x:row>
    <x:row r="33">
      <x:c r="A33" s="61" t="str">
        <x:v>TST-032</x:v>
      </x:c>
      <x:c r="B33" s="61" t="str">
        <x:v>Navegação</x:v>
      </x:c>
      <x:c r="C33" s="64" t="str">
        <x:v>Usar app por 30 minutos no iPhone</x:v>
      </x:c>
      <x:c r="D33" s="64" t="str">
        <x:v>Dados de teste preparados e usuário autenticado</x:v>
      </x:c>
      <x:c r="E33" s="64" t="str">
        <x:v>Executar cenário do início ao fim sem corrigir dados manualmente.</x:v>
      </x:c>
      <x:c r="F33" s="64" t="str">
        <x:v>Sem travamentos, telas quebradas ou loops de navegação.</x:v>
      </x:c>
      <x:c r="G33" s="61" t="str">
        <x:v>Pendente</x:v>
      </x:c>
      <x:c r="H33" s="61" t="str">
        <x:v>Pendente</x:v>
      </x:c>
      <x:c r="I33" s="61" t="str">
        <x:v>Pendente</x:v>
      </x:c>
      <x:c r="J33" s="61" t="str">
        <x:v>Pendente</x:v>
      </x:c>
      <x:c r="K33" s="61" t="str">
        <x:v>Não iniciado</x:v>
      </x:c>
      <x:c r="L33" s="84" t="n">
        <x:v>46284</x:v>
      </x:c>
      <x:c r="M33" s="64" t="str"/>
      <x:c r="N33" s="61" t="str"/>
      <x:c r="O33" s="61"/>
      <x:c r="P33" s="61"/>
      <x:c r="Q33" s="61"/>
    </x:row>
    <x:row r="34">
      <x:c r="A34" s="61" t="str">
        <x:v>TST-033</x:v>
      </x:c>
      <x:c r="B34" s="61" t="str">
        <x:v>Piloto</x:v>
      </x:c>
      <x:c r="C34" s="64" t="str">
        <x:v>Rodar um dia de operação simulada sem intervenção no banco</x:v>
      </x:c>
      <x:c r="D34" s="64" t="str">
        <x:v>Dados de teste preparados e usuário autenticado</x:v>
      </x:c>
      <x:c r="E34" s="64" t="str">
        <x:v>Executar cenário do início ao fim sem corrigir dados manualmente.</x:v>
      </x:c>
      <x:c r="F34" s="64" t="str">
        <x:v>Todas as correções são feitas pelo produto; nenhuma edição manual de tabela para completar operação.</x:v>
      </x:c>
      <x:c r="G34" s="61" t="str">
        <x:v>Pendente</x:v>
      </x:c>
      <x:c r="H34" s="61" t="str">
        <x:v>Pendente</x:v>
      </x:c>
      <x:c r="I34" s="61" t="str">
        <x:v>Pendente</x:v>
      </x:c>
      <x:c r="J34" s="61" t="str">
        <x:v>Pendente</x:v>
      </x:c>
      <x:c r="K34" s="61" t="str">
        <x:v>Não iniciado</x:v>
      </x:c>
      <x:c r="L34" s="84" t="n">
        <x:v>46283</x:v>
      </x:c>
      <x:c r="M34" s="64" t="str"/>
      <x:c r="N34" s="61" t="str"/>
      <x:c r="O34" s="61"/>
      <x:c r="P34" s="61"/>
      <x:c r="Q34" s="61"/>
    </x:row>
    <x:row r="35">
      <x:c r="A35" s="61" t="str">
        <x:v>TST-034</x:v>
      </x:c>
      <x:c r="B35" s="61" t="str">
        <x:v>Piloto</x:v>
      </x:c>
      <x:c r="C35" s="64" t="str">
        <x:v>Rodar piloto com usuário que não desenvolveu o sistema</x:v>
      </x:c>
      <x:c r="D35" s="64" t="str">
        <x:v>Dados de teste preparados e usuário autenticado</x:v>
      </x:c>
      <x:c r="E35" s="64" t="str">
        <x:v>Executar cenário do início ao fim sem corrigir dados manualmente.</x:v>
      </x:c>
      <x:c r="F35" s="64" t="str">
        <x:v>Pessoa consegue cadastrar, vender, receber, consultar e imprimir seguindo a UI/documentação.</x:v>
      </x:c>
      <x:c r="G35" s="61" t="str">
        <x:v>Pendente</x:v>
      </x:c>
      <x:c r="H35" s="61" t="str">
        <x:v>Pendente</x:v>
      </x:c>
      <x:c r="I35" s="61" t="str">
        <x:v>Pendente</x:v>
      </x:c>
      <x:c r="J35" s="61" t="str">
        <x:v>Pendente</x:v>
      </x:c>
      <x:c r="K35" s="61" t="str">
        <x:v>Não iniciado</x:v>
      </x:c>
      <x:c r="L35" s="84" t="n">
        <x:v>46284</x:v>
      </x:c>
      <x:c r="M35" s="64" t="str"/>
      <x:c r="N35" s="61" t="str"/>
      <x:c r="O35" s="61"/>
      <x:c r="P35" s="61"/>
      <x:c r="Q35" s="61"/>
    </x:row>
    <x:row r="36">
      <x:c r="A36" s="61" t="str">
        <x:v>TST-035</x:v>
      </x:c>
      <x:c r="B36" s="61" t="str">
        <x:v>Gate</x:v>
      </x:c>
      <x:c r="C36" s="64" t="str">
        <x:v>Gate de saída da fase de testes</x:v>
      </x:c>
      <x:c r="D36" s="64" t="str">
        <x:v>Dados de teste preparados e usuário autenticado</x:v>
      </x:c>
      <x:c r="E36" s="64" t="str">
        <x:v>Executar cenário do início ao fim sem corrigir dados manualmente.</x:v>
      </x:c>
      <x:c r="F36" s="64" t="str">
        <x:v>Zero P0 abertos; P1 restantes têm plano/aceite explícito; build/release candidata identificada.</x:v>
      </x:c>
      <x:c r="G36" s="61" t="str">
        <x:v>Pendente</x:v>
      </x:c>
      <x:c r="H36" s="61" t="str">
        <x:v>Pendente</x:v>
      </x:c>
      <x:c r="I36" s="61" t="str">
        <x:v>Pendente</x:v>
      </x:c>
      <x:c r="J36" s="61" t="str">
        <x:v>Pendente</x:v>
      </x:c>
      <x:c r="K36" s="61" t="str">
        <x:v>Não iniciado</x:v>
      </x:c>
      <x:c r="L36" s="84" t="n">
        <x:v>46284</x:v>
      </x:c>
      <x:c r="M36" s="64" t="str"/>
      <x:c r="N36" s="61" t="str"/>
      <x:c r="O36" s="61"/>
      <x:c r="P36" s="61"/>
      <x:c r="Q36" s="61"/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1"/>
      <x:c r="M37" s="61"/>
      <x:c r="N37" s="61"/>
      <x:c r="O37" s="61"/>
      <x:c r="P37" s="61"/>
      <x:c r="Q37" s="61"/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1"/>
      <x:c r="M38" s="61"/>
      <x:c r="N38" s="61"/>
      <x:c r="O38" s="61"/>
      <x:c r="P38" s="61"/>
      <x:c r="Q38" s="61"/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1"/>
      <x:c r="M39" s="61"/>
      <x:c r="N39" s="61"/>
      <x:c r="O39" s="61"/>
      <x:c r="P39" s="61"/>
      <x:c r="Q39" s="61"/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1"/>
      <x:c r="N41" s="61"/>
      <x:c r="O41" s="61"/>
      <x:c r="P41" s="61"/>
      <x:c r="Q41" s="61"/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1"/>
      <x:c r="N42" s="61"/>
      <x:c r="O42" s="61"/>
      <x:c r="P42" s="61"/>
      <x:c r="Q42" s="61"/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1"/>
      <x:c r="O43" s="61"/>
      <x:c r="P43" s="61"/>
      <x:c r="Q43" s="61"/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1"/>
      <x:c r="O44" s="61"/>
      <x:c r="P44" s="61"/>
      <x:c r="Q44" s="61"/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1"/>
      <x:c r="N45" s="61"/>
      <x:c r="O45" s="61"/>
      <x:c r="P45" s="61"/>
      <x:c r="Q45" s="61"/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1"/>
      <x:c r="N46" s="61"/>
      <x:c r="O46" s="61"/>
      <x:c r="P46" s="61"/>
      <x:c r="Q46" s="61"/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1"/>
      <x:c r="N47" s="61"/>
      <x:c r="O47" s="61"/>
      <x:c r="P47" s="61"/>
      <x:c r="Q47" s="61"/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1"/>
      <x:c r="N48" s="61"/>
      <x:c r="O48" s="61"/>
      <x:c r="P48" s="61"/>
      <x:c r="Q48" s="61"/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1"/>
      <x:c r="N49" s="61"/>
      <x:c r="O49" s="61"/>
      <x:c r="P49" s="61"/>
      <x:c r="Q49" s="61"/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1"/>
      <x:c r="N50" s="61"/>
      <x:c r="O50" s="61"/>
      <x:c r="P50" s="61"/>
      <x:c r="Q50" s="61"/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1"/>
      <x:c r="O51" s="61"/>
      <x:c r="P51" s="61"/>
      <x:c r="Q51" s="61"/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1"/>
      <x:c r="N52" s="61"/>
      <x:c r="O52" s="61"/>
      <x:c r="P52" s="61"/>
      <x:c r="Q52" s="61"/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1"/>
      <x:c r="N53" s="61"/>
      <x:c r="O53" s="61"/>
      <x:c r="P53" s="61"/>
      <x:c r="Q53" s="61"/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1"/>
      <x:c r="N54" s="61"/>
      <x:c r="O54" s="61"/>
      <x:c r="P54" s="61"/>
      <x:c r="Q54" s="61"/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1"/>
      <x:c r="N55" s="61"/>
      <x:c r="O55" s="61"/>
      <x:c r="P55" s="61"/>
      <x:c r="Q55" s="61"/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1"/>
      <x:c r="N56" s="61"/>
      <x:c r="O56" s="61"/>
      <x:c r="P56" s="61"/>
      <x:c r="Q56" s="61"/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1"/>
      <x:c r="N57" s="61"/>
      <x:c r="O57" s="61"/>
      <x:c r="P57" s="61"/>
      <x:c r="Q57" s="61"/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1"/>
      <x:c r="N58" s="61"/>
      <x:c r="O58" s="61"/>
      <x:c r="P58" s="61"/>
      <x:c r="Q58" s="61"/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1"/>
      <x:c r="N59" s="61"/>
      <x:c r="O59" s="61"/>
      <x:c r="P59" s="61"/>
      <x:c r="Q59" s="61"/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1"/>
      <x:c r="N60" s="61"/>
      <x:c r="O60" s="61"/>
      <x:c r="P60" s="61"/>
      <x:c r="Q60" s="61"/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1"/>
      <x:c r="N61" s="61"/>
      <x:c r="O61" s="61"/>
      <x:c r="P61" s="61"/>
      <x:c r="Q61" s="61"/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1"/>
      <x:c r="N62" s="61"/>
      <x:c r="O62" s="61"/>
      <x:c r="P62" s="61"/>
      <x:c r="Q62" s="61"/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1"/>
      <x:c r="N63" s="61"/>
      <x:c r="O63" s="61"/>
      <x:c r="P63" s="61"/>
      <x:c r="Q63" s="61"/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1"/>
      <x:c r="N64" s="61"/>
      <x:c r="O64" s="61"/>
      <x:c r="P64" s="61"/>
      <x:c r="Q64" s="61"/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1"/>
      <x:c r="N65" s="61"/>
      <x:c r="O65" s="61"/>
      <x:c r="P65" s="61"/>
      <x:c r="Q65" s="61"/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1"/>
      <x:c r="N66" s="61"/>
      <x:c r="O66" s="61"/>
      <x:c r="P66" s="61"/>
      <x:c r="Q66" s="61"/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1"/>
      <x:c r="N67" s="61"/>
      <x:c r="O67" s="61"/>
      <x:c r="P67" s="61"/>
      <x:c r="Q67" s="61"/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1"/>
      <x:c r="N68" s="61"/>
      <x:c r="O68" s="61"/>
      <x:c r="P68" s="61"/>
      <x:c r="Q68" s="61"/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1"/>
      <x:c r="N69" s="61"/>
      <x:c r="O69" s="61"/>
      <x:c r="P69" s="61"/>
      <x:c r="Q69" s="61"/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1"/>
      <x:c r="N70" s="61"/>
      <x:c r="O70" s="61"/>
      <x:c r="P70" s="61"/>
      <x:c r="Q70" s="61"/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1"/>
      <x:c r="N71" s="61"/>
      <x:c r="O71" s="61"/>
      <x:c r="P71" s="61"/>
      <x:c r="Q71" s="61"/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1"/>
      <x:c r="N72" s="61"/>
      <x:c r="O72" s="61"/>
      <x:c r="P72" s="61"/>
      <x:c r="Q72" s="61"/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1"/>
      <x:c r="N73" s="61"/>
      <x:c r="O73" s="61"/>
      <x:c r="P73" s="61"/>
      <x:c r="Q73" s="61"/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1"/>
      <x:c r="N74" s="61"/>
      <x:c r="O74" s="61"/>
      <x:c r="P74" s="61"/>
      <x:c r="Q74" s="61"/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1"/>
      <x:c r="N75" s="61"/>
      <x:c r="O75" s="61"/>
      <x:c r="P75" s="61"/>
      <x:c r="Q75" s="61"/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1"/>
      <x:c r="N76" s="61"/>
      <x:c r="O76" s="61"/>
      <x:c r="P76" s="61"/>
      <x:c r="Q76" s="61"/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1"/>
      <x:c r="N77" s="61"/>
      <x:c r="O77" s="61"/>
      <x:c r="P77" s="61"/>
      <x:c r="Q77" s="61"/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1"/>
      <x:c r="N78" s="61"/>
      <x:c r="O78" s="61"/>
      <x:c r="P78" s="61"/>
      <x:c r="Q78" s="61"/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1"/>
      <x:c r="N79" s="61"/>
      <x:c r="O79" s="61"/>
      <x:c r="P79" s="61"/>
      <x:c r="Q79" s="61"/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1"/>
      <x:c r="N80" s="61"/>
      <x:c r="O80" s="61"/>
      <x:c r="P80" s="61"/>
      <x:c r="Q80" s="61"/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1"/>
      <x:c r="N81" s="61"/>
      <x:c r="O81" s="61"/>
      <x:c r="P81" s="61"/>
      <x:c r="Q81" s="61"/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/>
      <x:c r="P82" s="61"/>
      <x:c r="Q82" s="61"/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1"/>
      <x:c r="N83" s="61"/>
      <x:c r="O83" s="61"/>
      <x:c r="P83" s="61"/>
      <x:c r="Q83" s="61"/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1"/>
      <x:c r="N84" s="61"/>
      <x:c r="O84" s="61"/>
      <x:c r="P84" s="61"/>
      <x:c r="Q84" s="61"/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1"/>
      <x:c r="N85" s="61"/>
      <x:c r="O85" s="61"/>
      <x:c r="P85" s="61"/>
      <x:c r="Q85" s="61"/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1"/>
      <x:c r="N86" s="61"/>
      <x:c r="O86" s="61"/>
      <x:c r="P86" s="61"/>
      <x:c r="Q86" s="61"/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1"/>
      <x:c r="N87" s="61"/>
      <x:c r="O87" s="61"/>
      <x:c r="P87" s="61"/>
      <x:c r="Q87" s="61"/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1"/>
      <x:c r="N88" s="61"/>
      <x:c r="O88" s="61"/>
      <x:c r="P88" s="61"/>
      <x:c r="Q88" s="61"/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1"/>
      <x:c r="N89" s="61"/>
      <x:c r="O89" s="61"/>
      <x:c r="P89" s="61"/>
      <x:c r="Q89" s="61"/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1"/>
      <x:c r="N90" s="61"/>
      <x:c r="O90" s="61"/>
      <x:c r="P90" s="61"/>
      <x:c r="Q90" s="61"/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1"/>
      <x:c r="N91" s="61"/>
      <x:c r="O91" s="61"/>
      <x:c r="P91" s="61"/>
      <x:c r="Q91" s="61"/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1"/>
      <x:c r="N92" s="61"/>
      <x:c r="O92" s="61"/>
      <x:c r="P92" s="61"/>
      <x:c r="Q92" s="61"/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1"/>
      <x:c r="N93" s="61"/>
      <x:c r="O93" s="61"/>
      <x:c r="P93" s="61"/>
      <x:c r="Q93" s="61"/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1"/>
      <x:c r="N94" s="61"/>
      <x:c r="O94" s="61"/>
      <x:c r="P94" s="61"/>
      <x:c r="Q94" s="61"/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1"/>
      <x:c r="N95" s="61"/>
      <x:c r="O95" s="61"/>
      <x:c r="P95" s="61"/>
      <x:c r="Q95" s="61"/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1"/>
      <x:c r="N96" s="61"/>
      <x:c r="O96" s="61"/>
      <x:c r="P96" s="61"/>
      <x:c r="Q96" s="61"/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1"/>
      <x:c r="N97" s="61"/>
      <x:c r="O97" s="61"/>
      <x:c r="P97" s="61"/>
      <x:c r="Q97" s="61"/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1"/>
      <x:c r="N98" s="61"/>
      <x:c r="O98" s="61"/>
      <x:c r="P98" s="61"/>
      <x:c r="Q98" s="61"/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1"/>
      <x:c r="N99" s="61"/>
      <x:c r="O99" s="61"/>
      <x:c r="P99" s="61"/>
      <x:c r="Q99" s="61"/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1"/>
      <x:c r="N100" s="61"/>
      <x:c r="O100" s="61"/>
      <x:c r="P100" s="61"/>
      <x:c r="Q100" s="61"/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1"/>
      <x:c r="N101" s="61"/>
      <x:c r="O101" s="61"/>
      <x:c r="P101" s="61"/>
      <x:c r="Q101" s="61"/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1"/>
      <x:c r="N102" s="61"/>
      <x:c r="O102" s="61"/>
      <x:c r="P102" s="61"/>
      <x:c r="Q102" s="61"/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1"/>
      <x:c r="N103" s="61"/>
      <x:c r="O103" s="61"/>
      <x:c r="P103" s="61"/>
      <x:c r="Q103" s="61"/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1"/>
      <x:c r="N104" s="61"/>
      <x:c r="O104" s="61"/>
      <x:c r="P104" s="61"/>
      <x:c r="Q104" s="61"/>
    </x:row>
    <x:row r="105">
      <x:c r="A105" s="61"/>
      <x:c r="B105" s="61"/>
      <x:c r="C105" s="61"/>
      <x:c r="D105" s="61"/>
      <x:c r="E105" s="61"/>
      <x:c r="F105" s="61"/>
      <x:c r="G105" s="61"/>
      <x:c r="H105" s="61"/>
      <x:c r="I105" s="61"/>
      <x:c r="J105" s="61"/>
      <x:c r="K105" s="61"/>
      <x:c r="L105" s="61"/>
      <x:c r="M105" s="61"/>
      <x:c r="N105" s="61"/>
      <x:c r="O105" s="61"/>
      <x:c r="P105" s="61"/>
      <x:c r="Q105" s="61"/>
    </x:row>
    <x:row r="106">
      <x:c r="A106" s="61"/>
      <x:c r="B106" s="61"/>
      <x:c r="C106" s="61"/>
      <x:c r="D106" s="61"/>
      <x:c r="E106" s="61"/>
      <x:c r="F106" s="61"/>
      <x:c r="G106" s="61"/>
      <x:c r="H106" s="61"/>
      <x:c r="I106" s="61"/>
      <x:c r="J106" s="61"/>
      <x:c r="K106" s="61"/>
      <x:c r="L106" s="61"/>
      <x:c r="M106" s="61"/>
      <x:c r="N106" s="61"/>
      <x:c r="O106" s="61"/>
      <x:c r="P106" s="61"/>
      <x:c r="Q106" s="61"/>
    </x:row>
    <x:row r="107">
      <x:c r="A107" s="61"/>
      <x:c r="B107" s="61"/>
      <x:c r="C107" s="61"/>
      <x:c r="D107" s="61"/>
      <x:c r="E107" s="61"/>
      <x:c r="F107" s="61"/>
      <x:c r="G107" s="61"/>
      <x:c r="H107" s="61"/>
      <x:c r="I107" s="61"/>
      <x:c r="J107" s="61"/>
      <x:c r="K107" s="61"/>
      <x:c r="L107" s="61"/>
      <x:c r="M107" s="61"/>
      <x:c r="N107" s="61"/>
      <x:c r="O107" s="61"/>
      <x:c r="P107" s="61"/>
      <x:c r="Q107" s="61"/>
    </x:row>
    <x:row r="108">
      <x:c r="A108" s="61"/>
      <x:c r="B108" s="61"/>
      <x:c r="C108" s="61"/>
      <x:c r="D108" s="61"/>
      <x:c r="E108" s="61"/>
      <x:c r="F108" s="61"/>
      <x:c r="G108" s="61"/>
      <x:c r="H108" s="61"/>
      <x:c r="I108" s="61"/>
      <x:c r="J108" s="61"/>
      <x:c r="K108" s="61"/>
      <x:c r="L108" s="61"/>
      <x:c r="M108" s="61"/>
      <x:c r="N108" s="61"/>
      <x:c r="O108" s="61"/>
      <x:c r="P108" s="61"/>
      <x:c r="Q108" s="61"/>
    </x:row>
    <x:row r="109">
      <x:c r="A109" s="61"/>
      <x:c r="B109" s="61"/>
      <x:c r="C109" s="61"/>
      <x:c r="D109" s="61"/>
      <x:c r="E109" s="61"/>
      <x:c r="F109" s="61"/>
      <x:c r="G109" s="61"/>
      <x:c r="H109" s="61"/>
      <x:c r="I109" s="61"/>
      <x:c r="J109" s="61"/>
      <x:c r="K109" s="61"/>
      <x:c r="L109" s="61"/>
      <x:c r="M109" s="61"/>
      <x:c r="N109" s="61"/>
      <x:c r="O109" s="61"/>
      <x:c r="P109" s="61"/>
      <x:c r="Q109" s="61"/>
    </x:row>
    <x:row r="110">
      <x:c r="A110" s="61"/>
      <x:c r="B110" s="61"/>
      <x:c r="C110" s="61"/>
      <x:c r="D110" s="61"/>
      <x:c r="E110" s="61"/>
      <x:c r="F110" s="61"/>
      <x:c r="G110" s="61"/>
      <x:c r="H110" s="61"/>
      <x:c r="I110" s="61"/>
      <x:c r="J110" s="61"/>
      <x:c r="K110" s="61"/>
      <x:c r="L110" s="61"/>
      <x:c r="M110" s="61"/>
      <x:c r="N110" s="61"/>
      <x:c r="O110" s="61"/>
      <x:c r="P110" s="61"/>
      <x:c r="Q110" s="61"/>
    </x:row>
    <x:row r="111">
      <x:c r="A111" s="61"/>
      <x:c r="B111" s="61"/>
      <x:c r="C111" s="61"/>
      <x:c r="D111" s="61"/>
      <x:c r="E111" s="61"/>
      <x:c r="F111" s="61"/>
      <x:c r="G111" s="61"/>
      <x:c r="H111" s="61"/>
      <x:c r="I111" s="61"/>
      <x:c r="J111" s="61"/>
      <x:c r="K111" s="61"/>
      <x:c r="L111" s="61"/>
      <x:c r="M111" s="61"/>
      <x:c r="N111" s="61"/>
      <x:c r="O111" s="61"/>
      <x:c r="P111" s="61"/>
      <x:c r="Q111" s="61"/>
    </x:row>
    <x:row r="112">
      <x:c r="A112" s="61"/>
      <x:c r="B112" s="61"/>
      <x:c r="C112" s="61"/>
      <x:c r="D112" s="61"/>
      <x:c r="E112" s="61"/>
      <x:c r="F112" s="61"/>
      <x:c r="G112" s="61"/>
      <x:c r="H112" s="61"/>
      <x:c r="I112" s="61"/>
      <x:c r="J112" s="61"/>
      <x:c r="K112" s="61"/>
      <x:c r="L112" s="61"/>
      <x:c r="M112" s="61"/>
      <x:c r="N112" s="61"/>
      <x:c r="O112" s="61"/>
      <x:c r="P112" s="61"/>
      <x:c r="Q112" s="61"/>
    </x:row>
    <x:row r="113">
      <x:c r="A113" s="61"/>
      <x:c r="B113" s="61"/>
      <x:c r="C113" s="61"/>
      <x:c r="D113" s="61"/>
      <x:c r="E113" s="61"/>
      <x:c r="F113" s="61"/>
      <x:c r="G113" s="61"/>
      <x:c r="H113" s="61"/>
      <x:c r="I113" s="61"/>
      <x:c r="J113" s="61"/>
      <x:c r="K113" s="61"/>
      <x:c r="L113" s="61"/>
      <x:c r="M113" s="61"/>
      <x:c r="N113" s="61"/>
      <x:c r="O113" s="61"/>
      <x:c r="P113" s="61"/>
      <x:c r="Q113" s="61"/>
    </x:row>
    <x:row r="114">
      <x:c r="A114" s="61"/>
      <x:c r="B114" s="61"/>
      <x:c r="C114" s="61"/>
      <x:c r="D114" s="61"/>
      <x:c r="E114" s="61"/>
      <x:c r="F114" s="61"/>
      <x:c r="G114" s="61"/>
      <x:c r="H114" s="61"/>
      <x:c r="I114" s="61"/>
      <x:c r="J114" s="61"/>
      <x:c r="K114" s="61"/>
      <x:c r="L114" s="61"/>
      <x:c r="M114" s="61"/>
      <x:c r="N114" s="61"/>
      <x:c r="O114" s="61"/>
      <x:c r="P114" s="61"/>
      <x:c r="Q114" s="61"/>
    </x:row>
    <x:row r="115">
      <x:c r="A115" s="61"/>
      <x:c r="B115" s="61"/>
      <x:c r="C115" s="61"/>
      <x:c r="D115" s="61"/>
      <x:c r="E115" s="61"/>
      <x:c r="F115" s="61"/>
      <x:c r="G115" s="61"/>
      <x:c r="H115" s="61"/>
      <x:c r="I115" s="61"/>
      <x:c r="J115" s="61"/>
      <x:c r="K115" s="61"/>
      <x:c r="L115" s="61"/>
      <x:c r="M115" s="61"/>
      <x:c r="N115" s="61"/>
      <x:c r="O115" s="61"/>
      <x:c r="P115" s="61"/>
      <x:c r="Q115" s="61"/>
    </x:row>
    <x:row r="116">
      <x:c r="A116" s="61"/>
      <x:c r="B116" s="61"/>
      <x:c r="C116" s="61"/>
      <x:c r="D116" s="61"/>
      <x:c r="E116" s="61"/>
      <x:c r="F116" s="61"/>
      <x:c r="G116" s="61"/>
      <x:c r="H116" s="61"/>
      <x:c r="I116" s="61"/>
      <x:c r="J116" s="61"/>
      <x:c r="K116" s="61"/>
      <x:c r="L116" s="61"/>
      <x:c r="M116" s="61"/>
      <x:c r="N116" s="61"/>
      <x:c r="O116" s="61"/>
      <x:c r="P116" s="61"/>
      <x:c r="Q116" s="61"/>
    </x:row>
    <x:row r="117">
      <x:c r="A117" s="61"/>
      <x:c r="B117" s="61"/>
      <x:c r="C117" s="61"/>
      <x:c r="D117" s="61"/>
      <x:c r="E117" s="61"/>
      <x:c r="F117" s="61"/>
      <x:c r="G117" s="61"/>
      <x:c r="H117" s="61"/>
      <x:c r="I117" s="61"/>
      <x:c r="J117" s="61"/>
      <x:c r="K117" s="61"/>
      <x:c r="L117" s="61"/>
      <x:c r="M117" s="61"/>
      <x:c r="N117" s="61"/>
      <x:c r="O117" s="61"/>
      <x:c r="P117" s="61"/>
      <x:c r="Q117" s="61"/>
    </x:row>
    <x:row r="118">
      <x:c r="A118" s="61"/>
      <x:c r="B118" s="61"/>
      <x:c r="C118" s="61"/>
      <x:c r="D118" s="61"/>
      <x:c r="E118" s="61"/>
      <x:c r="F118" s="61"/>
      <x:c r="G118" s="61"/>
      <x:c r="H118" s="61"/>
      <x:c r="I118" s="61"/>
      <x:c r="J118" s="61"/>
      <x:c r="K118" s="61"/>
      <x:c r="L118" s="61"/>
      <x:c r="M118" s="61"/>
      <x:c r="N118" s="61"/>
      <x:c r="O118" s="61"/>
      <x:c r="P118" s="61"/>
      <x:c r="Q118" s="61"/>
    </x:row>
    <x:row r="119">
      <x:c r="A119" s="61"/>
      <x:c r="B119" s="61"/>
      <x:c r="C119" s="61"/>
      <x:c r="D119" s="61"/>
      <x:c r="E119" s="61"/>
      <x:c r="F119" s="61"/>
      <x:c r="G119" s="61"/>
      <x:c r="H119" s="61"/>
      <x:c r="I119" s="61"/>
      <x:c r="J119" s="61"/>
      <x:c r="K119" s="61"/>
      <x:c r="L119" s="61"/>
      <x:c r="M119" s="61"/>
      <x:c r="N119" s="61"/>
      <x:c r="O119" s="61"/>
      <x:c r="P119" s="61"/>
      <x:c r="Q119" s="61"/>
    </x:row>
    <x:row r="120">
      <x:c r="A120" s="61"/>
      <x:c r="B120" s="61"/>
      <x:c r="C120" s="61"/>
      <x:c r="D120" s="61"/>
      <x:c r="E120" s="61"/>
      <x:c r="F120" s="61"/>
      <x:c r="G120" s="61"/>
      <x:c r="H120" s="61"/>
      <x:c r="I120" s="61"/>
      <x:c r="J120" s="61"/>
      <x:c r="K120" s="61"/>
      <x:c r="L120" s="61"/>
      <x:c r="M120" s="61"/>
      <x:c r="N120" s="61"/>
      <x:c r="O120" s="61"/>
      <x:c r="P120" s="61"/>
      <x:c r="Q120" s="61"/>
    </x:row>
    <x:row r="121">
      <x:c r="A121" s="61"/>
      <x:c r="B121" s="61"/>
      <x:c r="C121" s="61"/>
      <x:c r="D121" s="61"/>
      <x:c r="E121" s="61"/>
      <x:c r="F121" s="61"/>
      <x:c r="G121" s="61"/>
      <x:c r="H121" s="61"/>
      <x:c r="I121" s="61"/>
      <x:c r="J121" s="61"/>
      <x:c r="K121" s="61"/>
      <x:c r="L121" s="61"/>
      <x:c r="M121" s="61"/>
      <x:c r="N121" s="61"/>
      <x:c r="O121" s="61"/>
      <x:c r="P121" s="61"/>
      <x:c r="Q121" s="61"/>
    </x:row>
    <x:row r="122">
      <x:c r="A122" s="61"/>
      <x:c r="B122" s="61"/>
      <x:c r="C122" s="61"/>
      <x:c r="D122" s="61"/>
      <x:c r="E122" s="61"/>
      <x:c r="F122" s="61"/>
      <x:c r="G122" s="61"/>
      <x:c r="H122" s="61"/>
      <x:c r="I122" s="61"/>
      <x:c r="J122" s="61"/>
      <x:c r="K122" s="61"/>
      <x:c r="L122" s="61"/>
      <x:c r="M122" s="61"/>
      <x:c r="N122" s="61"/>
      <x:c r="O122" s="61"/>
      <x:c r="P122" s="61"/>
      <x:c r="Q122" s="61"/>
    </x:row>
    <x:row r="123">
      <x:c r="A123" s="61"/>
      <x:c r="B123" s="61"/>
      <x:c r="C123" s="61"/>
      <x:c r="D123" s="61"/>
      <x:c r="E123" s="61"/>
      <x:c r="F123" s="61"/>
      <x:c r="G123" s="61"/>
      <x:c r="H123" s="61"/>
      <x:c r="I123" s="61"/>
      <x:c r="J123" s="61"/>
      <x:c r="K123" s="61"/>
      <x:c r="L123" s="61"/>
      <x:c r="M123" s="61"/>
      <x:c r="N123" s="61"/>
      <x:c r="O123" s="61"/>
      <x:c r="P123" s="61"/>
      <x:c r="Q123" s="61"/>
    </x:row>
    <x:row r="124">
      <x:c r="A124" s="61"/>
      <x:c r="B124" s="61"/>
      <x:c r="C124" s="61"/>
      <x:c r="D124" s="61"/>
      <x:c r="E124" s="61"/>
      <x:c r="F124" s="61"/>
      <x:c r="G124" s="61"/>
      <x:c r="H124" s="61"/>
      <x:c r="I124" s="61"/>
      <x:c r="J124" s="61"/>
      <x:c r="K124" s="61"/>
      <x:c r="L124" s="61"/>
      <x:c r="M124" s="61"/>
      <x:c r="N124" s="61"/>
      <x:c r="O124" s="61"/>
      <x:c r="P124" s="61"/>
      <x:c r="Q124" s="61"/>
    </x:row>
    <x:row r="125">
      <x:c r="A125" s="61"/>
      <x:c r="B125" s="61"/>
      <x:c r="C125" s="61"/>
      <x:c r="D125" s="61"/>
      <x:c r="E125" s="61"/>
      <x:c r="F125" s="61"/>
      <x:c r="G125" s="61"/>
      <x:c r="H125" s="61"/>
      <x:c r="I125" s="61"/>
      <x:c r="J125" s="61"/>
      <x:c r="K125" s="61"/>
      <x:c r="L125" s="61"/>
      <x:c r="M125" s="61"/>
      <x:c r="N125" s="61"/>
      <x:c r="O125" s="61"/>
      <x:c r="P125" s="61"/>
      <x:c r="Q125" s="61"/>
    </x:row>
    <x:row r="126">
      <x:c r="A126" s="61"/>
      <x:c r="B126" s="61"/>
      <x:c r="C126" s="61"/>
      <x:c r="D126" s="61"/>
      <x:c r="E126" s="61"/>
      <x:c r="F126" s="61"/>
      <x:c r="G126" s="61"/>
      <x:c r="H126" s="61"/>
      <x:c r="I126" s="61"/>
      <x:c r="J126" s="61"/>
      <x:c r="K126" s="61"/>
      <x:c r="L126" s="61"/>
      <x:c r="M126" s="61"/>
      <x:c r="N126" s="61"/>
      <x:c r="O126" s="61"/>
      <x:c r="P126" s="61"/>
      <x:c r="Q126" s="61"/>
    </x:row>
    <x:row r="127">
      <x:c r="A127" s="61"/>
      <x:c r="B127" s="61"/>
      <x:c r="C127" s="61"/>
      <x:c r="D127" s="61"/>
      <x:c r="E127" s="61"/>
      <x:c r="F127" s="61"/>
      <x:c r="G127" s="61"/>
      <x:c r="H127" s="61"/>
      <x:c r="I127" s="61"/>
      <x:c r="J127" s="61"/>
      <x:c r="K127" s="61"/>
      <x:c r="L127" s="61"/>
      <x:c r="M127" s="61"/>
      <x:c r="N127" s="61"/>
      <x:c r="O127" s="61"/>
      <x:c r="P127" s="61"/>
      <x:c r="Q127" s="61"/>
    </x:row>
    <x:row r="128">
      <x:c r="A128" s="61"/>
      <x:c r="B128" s="61"/>
      <x:c r="C128" s="61"/>
      <x:c r="D128" s="61"/>
      <x:c r="E128" s="61"/>
      <x:c r="F128" s="61"/>
      <x:c r="G128" s="61"/>
      <x:c r="H128" s="61"/>
      <x:c r="I128" s="61"/>
      <x:c r="J128" s="61"/>
      <x:c r="K128" s="61"/>
      <x:c r="L128" s="61"/>
      <x:c r="M128" s="61"/>
      <x:c r="N128" s="61"/>
      <x:c r="O128" s="61"/>
      <x:c r="P128" s="61"/>
      <x:c r="Q128" s="61"/>
    </x:row>
    <x:row r="129">
      <x:c r="A129" s="61"/>
      <x:c r="B129" s="61"/>
      <x:c r="C129" s="61"/>
      <x:c r="D129" s="61"/>
      <x:c r="E129" s="61"/>
      <x:c r="F129" s="61"/>
      <x:c r="G129" s="61"/>
      <x:c r="H129" s="61"/>
      <x:c r="I129" s="61"/>
      <x:c r="J129" s="61"/>
      <x:c r="K129" s="61"/>
      <x:c r="L129" s="61"/>
      <x:c r="M129" s="61"/>
      <x:c r="N129" s="61"/>
      <x:c r="O129" s="61"/>
      <x:c r="P129" s="61"/>
      <x:c r="Q129" s="61"/>
    </x:row>
    <x:row r="130">
      <x:c r="A130" s="61"/>
      <x:c r="B130" s="61"/>
      <x:c r="C130" s="61"/>
      <x:c r="D130" s="61"/>
      <x:c r="E130" s="61"/>
      <x:c r="F130" s="61"/>
      <x:c r="G130" s="61"/>
      <x:c r="H130" s="61"/>
      <x:c r="I130" s="61"/>
      <x:c r="J130" s="61"/>
      <x:c r="K130" s="61"/>
      <x:c r="L130" s="61"/>
      <x:c r="M130" s="61"/>
      <x:c r="N130" s="61"/>
      <x:c r="O130" s="61"/>
      <x:c r="P130" s="61"/>
      <x:c r="Q130" s="61"/>
    </x:row>
    <x:row r="131">
      <x:c r="A131" s="61"/>
      <x:c r="B131" s="61"/>
      <x:c r="C131" s="61"/>
      <x:c r="D131" s="61"/>
      <x:c r="E131" s="61"/>
      <x:c r="F131" s="61"/>
      <x:c r="G131" s="61"/>
      <x:c r="H131" s="61"/>
      <x:c r="I131" s="61"/>
      <x:c r="J131" s="61"/>
      <x:c r="K131" s="61"/>
      <x:c r="L131" s="61"/>
      <x:c r="M131" s="61"/>
      <x:c r="N131" s="61"/>
      <x:c r="O131" s="61"/>
      <x:c r="P131" s="61"/>
      <x:c r="Q131" s="61"/>
    </x:row>
    <x:row r="132">
      <x:c r="A132" s="61"/>
      <x:c r="B132" s="61"/>
      <x:c r="C132" s="61"/>
      <x:c r="D132" s="61"/>
      <x:c r="E132" s="61"/>
      <x:c r="F132" s="61"/>
      <x:c r="G132" s="61"/>
      <x:c r="H132" s="61"/>
      <x:c r="I132" s="61"/>
      <x:c r="J132" s="61"/>
      <x:c r="K132" s="61"/>
      <x:c r="L132" s="61"/>
      <x:c r="M132" s="61"/>
      <x:c r="N132" s="61"/>
      <x:c r="O132" s="61"/>
      <x:c r="P132" s="61"/>
      <x:c r="Q132" s="61"/>
    </x:row>
    <x:row r="133">
      <x:c r="A133" s="61"/>
      <x:c r="B133" s="61"/>
      <x:c r="C133" s="61"/>
      <x:c r="D133" s="61"/>
      <x:c r="E133" s="61"/>
      <x:c r="F133" s="61"/>
      <x:c r="G133" s="61"/>
      <x:c r="H133" s="61"/>
      <x:c r="I133" s="61"/>
      <x:c r="J133" s="61"/>
      <x:c r="K133" s="61"/>
      <x:c r="L133" s="61"/>
      <x:c r="M133" s="61"/>
      <x:c r="N133" s="61"/>
      <x:c r="O133" s="61"/>
      <x:c r="P133" s="61"/>
      <x:c r="Q133" s="61"/>
    </x:row>
    <x:row r="134">
      <x:c r="A134" s="61"/>
      <x:c r="B134" s="61"/>
      <x:c r="C134" s="61"/>
      <x:c r="D134" s="61"/>
      <x:c r="E134" s="61"/>
      <x:c r="F134" s="61"/>
      <x:c r="G134" s="61"/>
      <x:c r="H134" s="61"/>
      <x:c r="I134" s="61"/>
      <x:c r="J134" s="61"/>
      <x:c r="K134" s="61"/>
      <x:c r="L134" s="61"/>
      <x:c r="M134" s="61"/>
      <x:c r="N134" s="61"/>
      <x:c r="O134" s="61"/>
      <x:c r="P134" s="61"/>
      <x:c r="Q134" s="61"/>
    </x:row>
    <x:row r="135">
      <x:c r="A135" s="61"/>
      <x:c r="B135" s="61"/>
      <x:c r="C135" s="61"/>
      <x:c r="D135" s="61"/>
      <x:c r="E135" s="61"/>
      <x:c r="F135" s="61"/>
      <x:c r="G135" s="61"/>
      <x:c r="H135" s="61"/>
      <x:c r="I135" s="61"/>
      <x:c r="J135" s="61"/>
      <x:c r="K135" s="61"/>
      <x:c r="L135" s="61"/>
      <x:c r="M135" s="61"/>
      <x:c r="N135" s="61"/>
      <x:c r="O135" s="61"/>
      <x:c r="P135" s="61"/>
      <x:c r="Q135" s="61"/>
    </x:row>
    <x:row r="136">
      <x:c r="A136" s="61"/>
      <x:c r="B136" s="61"/>
      <x:c r="C136" s="61"/>
      <x:c r="D136" s="61"/>
      <x:c r="E136" s="61"/>
      <x:c r="F136" s="61"/>
      <x:c r="G136" s="61"/>
      <x:c r="H136" s="61"/>
      <x:c r="I136" s="61"/>
      <x:c r="J136" s="61"/>
      <x:c r="K136" s="61"/>
      <x:c r="L136" s="61"/>
      <x:c r="M136" s="61"/>
      <x:c r="N136" s="61"/>
      <x:c r="O136" s="61"/>
      <x:c r="P136" s="61"/>
      <x:c r="Q136" s="61"/>
    </x:row>
    <x:row r="137">
      <x:c r="A137" s="61"/>
      <x:c r="B137" s="61"/>
      <x:c r="C137" s="61"/>
      <x:c r="D137" s="61"/>
      <x:c r="E137" s="61"/>
      <x:c r="F137" s="61"/>
      <x:c r="G137" s="61"/>
      <x:c r="H137" s="61"/>
      <x:c r="I137" s="61"/>
      <x:c r="J137" s="61"/>
      <x:c r="K137" s="61"/>
      <x:c r="L137" s="61"/>
      <x:c r="M137" s="61"/>
      <x:c r="N137" s="61"/>
      <x:c r="O137" s="61"/>
      <x:c r="P137" s="61"/>
      <x:c r="Q137" s="61"/>
    </x:row>
    <x:row r="138">
      <x:c r="A138" s="61"/>
      <x:c r="B138" s="61"/>
      <x:c r="C138" s="61"/>
      <x:c r="D138" s="61"/>
      <x:c r="E138" s="61"/>
      <x:c r="F138" s="61"/>
      <x:c r="G138" s="61"/>
      <x:c r="H138" s="61"/>
      <x:c r="I138" s="61"/>
      <x:c r="J138" s="61"/>
      <x:c r="K138" s="61"/>
      <x:c r="L138" s="61"/>
      <x:c r="M138" s="61"/>
      <x:c r="N138" s="61"/>
      <x:c r="O138" s="61"/>
      <x:c r="P138" s="61"/>
      <x:c r="Q138" s="61"/>
    </x:row>
    <x:row r="139">
      <x:c r="A139" s="61"/>
      <x:c r="B139" s="61"/>
      <x:c r="C139" s="61"/>
      <x:c r="D139" s="61"/>
      <x:c r="E139" s="61"/>
      <x:c r="F139" s="61"/>
      <x:c r="G139" s="61"/>
      <x:c r="H139" s="61"/>
      <x:c r="I139" s="61"/>
      <x:c r="J139" s="61"/>
      <x:c r="K139" s="61"/>
      <x:c r="L139" s="61"/>
      <x:c r="M139" s="61"/>
      <x:c r="N139" s="61"/>
      <x:c r="O139" s="61"/>
      <x:c r="P139" s="61"/>
      <x:c r="Q139" s="61"/>
    </x:row>
    <x:row r="140">
      <x:c r="A140" s="61"/>
      <x:c r="B140" s="61"/>
      <x:c r="C140" s="61"/>
      <x:c r="D140" s="61"/>
      <x:c r="E140" s="61"/>
      <x:c r="F140" s="61"/>
      <x:c r="G140" s="61"/>
      <x:c r="H140" s="61"/>
      <x:c r="I140" s="61"/>
      <x:c r="J140" s="61"/>
      <x:c r="K140" s="61"/>
      <x:c r="L140" s="61"/>
      <x:c r="M140" s="61"/>
      <x:c r="N140" s="61"/>
      <x:c r="O140" s="61"/>
      <x:c r="P140" s="61"/>
      <x:c r="Q140" s="61"/>
    </x:row>
    <x:row r="141">
      <x:c r="A141" s="61"/>
      <x:c r="B141" s="61"/>
      <x:c r="C141" s="61"/>
      <x:c r="D141" s="61"/>
      <x:c r="E141" s="61"/>
      <x:c r="F141" s="61"/>
      <x:c r="G141" s="61"/>
      <x:c r="H141" s="61"/>
      <x:c r="I141" s="61"/>
      <x:c r="J141" s="61"/>
      <x:c r="K141" s="61"/>
      <x:c r="L141" s="61"/>
      <x:c r="M141" s="61"/>
      <x:c r="N141" s="61"/>
      <x:c r="O141" s="61"/>
      <x:c r="P141" s="61"/>
      <x:c r="Q141" s="61"/>
    </x:row>
    <x:row r="142">
      <x:c r="A142" s="61"/>
      <x:c r="B142" s="61"/>
      <x:c r="C142" s="61"/>
      <x:c r="D142" s="61"/>
      <x:c r="E142" s="61"/>
      <x:c r="F142" s="61"/>
      <x:c r="G142" s="61"/>
      <x:c r="H142" s="61"/>
      <x:c r="I142" s="61"/>
      <x:c r="J142" s="61"/>
      <x:c r="K142" s="61"/>
      <x:c r="L142" s="61"/>
      <x:c r="M142" s="61"/>
      <x:c r="N142" s="61"/>
      <x:c r="O142" s="61"/>
      <x:c r="P142" s="61"/>
      <x:c r="Q142" s="61"/>
    </x:row>
    <x:row r="143">
      <x:c r="A143" s="61"/>
      <x:c r="B143" s="61"/>
      <x:c r="C143" s="61"/>
      <x:c r="D143" s="61"/>
      <x:c r="E143" s="61"/>
      <x:c r="F143" s="61"/>
      <x:c r="G143" s="61"/>
      <x:c r="H143" s="61"/>
      <x:c r="I143" s="61"/>
      <x:c r="J143" s="61"/>
      <x:c r="K143" s="61"/>
      <x:c r="L143" s="61"/>
      <x:c r="M143" s="61"/>
      <x:c r="N143" s="61"/>
      <x:c r="O143" s="61"/>
      <x:c r="P143" s="61"/>
      <x:c r="Q143" s="61"/>
    </x:row>
    <x:row r="144">
      <x:c r="A144" s="61"/>
      <x:c r="B144" s="61"/>
      <x:c r="C144" s="61"/>
      <x:c r="D144" s="61"/>
      <x:c r="E144" s="61"/>
      <x:c r="F144" s="61"/>
      <x:c r="G144" s="61"/>
      <x:c r="H144" s="61"/>
      <x:c r="I144" s="61"/>
      <x:c r="J144" s="61"/>
      <x:c r="K144" s="61"/>
      <x:c r="L144" s="61"/>
      <x:c r="M144" s="61"/>
      <x:c r="N144" s="61"/>
      <x:c r="O144" s="61"/>
      <x:c r="P144" s="61"/>
      <x:c r="Q144" s="61"/>
    </x:row>
    <x:row r="145">
      <x:c r="A145" s="61"/>
      <x:c r="B145" s="61"/>
      <x:c r="C145" s="61"/>
      <x:c r="D145" s="61"/>
      <x:c r="E145" s="61"/>
      <x:c r="F145" s="61"/>
      <x:c r="G145" s="61"/>
      <x:c r="H145" s="61"/>
      <x:c r="I145" s="61"/>
      <x:c r="J145" s="61"/>
      <x:c r="K145" s="61"/>
      <x:c r="L145" s="61"/>
      <x:c r="M145" s="61"/>
      <x:c r="N145" s="61"/>
      <x:c r="O145" s="61"/>
      <x:c r="P145" s="61"/>
      <x:c r="Q145" s="61"/>
    </x:row>
    <x:row r="146">
      <x:c r="A146" s="61"/>
      <x:c r="B146" s="61"/>
      <x:c r="C146" s="61"/>
      <x:c r="D146" s="61"/>
      <x:c r="E146" s="61"/>
      <x:c r="F146" s="61"/>
      <x:c r="G146" s="61"/>
      <x:c r="H146" s="61"/>
      <x:c r="I146" s="61"/>
      <x:c r="J146" s="61"/>
      <x:c r="K146" s="61"/>
      <x:c r="L146" s="61"/>
      <x:c r="M146" s="61"/>
      <x:c r="N146" s="61"/>
      <x:c r="O146" s="61"/>
      <x:c r="P146" s="61"/>
      <x:c r="Q146" s="61"/>
    </x:row>
    <x:row r="147">
      <x:c r="A147" s="61"/>
      <x:c r="B147" s="61"/>
      <x:c r="C147" s="61"/>
      <x:c r="D147" s="61"/>
      <x:c r="E147" s="61"/>
      <x:c r="F147" s="61"/>
      <x:c r="G147" s="61"/>
      <x:c r="H147" s="61"/>
      <x:c r="I147" s="61"/>
      <x:c r="J147" s="61"/>
      <x:c r="K147" s="61"/>
      <x:c r="L147" s="61"/>
      <x:c r="M147" s="61"/>
      <x:c r="N147" s="61"/>
      <x:c r="O147" s="61"/>
      <x:c r="P147" s="61"/>
      <x:c r="Q147" s="61"/>
    </x:row>
    <x:row r="148">
      <x:c r="A148" s="61"/>
      <x:c r="B148" s="61"/>
      <x:c r="C148" s="61"/>
      <x:c r="D148" s="61"/>
      <x:c r="E148" s="61"/>
      <x:c r="F148" s="61"/>
      <x:c r="G148" s="61"/>
      <x:c r="H148" s="61"/>
      <x:c r="I148" s="61"/>
      <x:c r="J148" s="61"/>
      <x:c r="K148" s="61"/>
      <x:c r="L148" s="61"/>
      <x:c r="M148" s="61"/>
      <x:c r="N148" s="61"/>
      <x:c r="O148" s="61"/>
      <x:c r="P148" s="61"/>
      <x:c r="Q148" s="61"/>
    </x:row>
    <x:row r="149">
      <x:c r="A149" s="61"/>
      <x:c r="B149" s="61"/>
      <x:c r="C149" s="61"/>
      <x:c r="D149" s="61"/>
      <x:c r="E149" s="61"/>
      <x:c r="F149" s="61"/>
      <x:c r="G149" s="61"/>
      <x:c r="H149" s="61"/>
      <x:c r="I149" s="61"/>
      <x:c r="J149" s="61"/>
      <x:c r="K149" s="61"/>
      <x:c r="L149" s="61"/>
      <x:c r="M149" s="61"/>
      <x:c r="N149" s="61"/>
      <x:c r="O149" s="61"/>
      <x:c r="P149" s="61"/>
      <x:c r="Q149" s="61"/>
    </x:row>
    <x:row r="150">
      <x:c r="A150" s="61"/>
      <x:c r="B150" s="61"/>
      <x:c r="C150" s="61"/>
      <x:c r="D150" s="61"/>
      <x:c r="E150" s="61"/>
      <x:c r="F150" s="61"/>
      <x:c r="G150" s="61"/>
      <x:c r="H150" s="61"/>
      <x:c r="I150" s="61"/>
      <x:c r="J150" s="61"/>
      <x:c r="K150" s="61"/>
      <x:c r="L150" s="61"/>
      <x:c r="M150" s="61"/>
      <x:c r="N150" s="61"/>
      <x:c r="O150" s="61"/>
      <x:c r="P150" s="61"/>
      <x:c r="Q150" s="61"/>
    </x:row>
    <x:row r="151">
      <x:c r="A151" s="61"/>
      <x:c r="B151" s="61"/>
      <x:c r="C151" s="61"/>
      <x:c r="D151" s="61"/>
      <x:c r="E151" s="61"/>
      <x:c r="F151" s="61"/>
      <x:c r="G151" s="61"/>
      <x:c r="H151" s="61"/>
      <x:c r="I151" s="61"/>
      <x:c r="J151" s="61"/>
      <x:c r="K151" s="61"/>
      <x:c r="L151" s="61"/>
      <x:c r="M151" s="61"/>
      <x:c r="N151" s="61"/>
      <x:c r="O151" s="61"/>
      <x:c r="P151" s="61"/>
      <x:c r="Q151" s="61"/>
    </x:row>
    <x:row r="152">
      <x:c r="A152" s="61"/>
      <x:c r="B152" s="61"/>
      <x:c r="C152" s="61"/>
      <x:c r="D152" s="61"/>
      <x:c r="E152" s="61"/>
      <x:c r="F152" s="61"/>
      <x:c r="G152" s="61"/>
      <x:c r="H152" s="61"/>
      <x:c r="I152" s="61"/>
      <x:c r="J152" s="61"/>
      <x:c r="K152" s="61"/>
      <x:c r="L152" s="61"/>
      <x:c r="M152" s="61"/>
      <x:c r="N152" s="61"/>
      <x:c r="O152" s="61"/>
      <x:c r="P152" s="61"/>
      <x:c r="Q152" s="61"/>
    </x:row>
    <x:row r="153">
      <x:c r="A153" s="61"/>
      <x:c r="B153" s="61"/>
      <x:c r="C153" s="61"/>
      <x:c r="D153" s="61"/>
      <x:c r="E153" s="61"/>
      <x:c r="F153" s="61"/>
      <x:c r="G153" s="61"/>
      <x:c r="H153" s="61"/>
      <x:c r="I153" s="61"/>
      <x:c r="J153" s="61"/>
      <x:c r="K153" s="61"/>
      <x:c r="L153" s="61"/>
      <x:c r="M153" s="61"/>
      <x:c r="N153" s="61"/>
      <x:c r="O153" s="61"/>
      <x:c r="P153" s="61"/>
      <x:c r="Q153" s="61"/>
    </x:row>
    <x:row r="154">
      <x:c r="A154" s="61"/>
      <x:c r="B154" s="61"/>
      <x:c r="C154" s="61"/>
      <x:c r="D154" s="61"/>
      <x:c r="E154" s="61"/>
      <x:c r="F154" s="61"/>
      <x:c r="G154" s="61"/>
      <x:c r="H154" s="61"/>
      <x:c r="I154" s="61"/>
      <x:c r="J154" s="61"/>
      <x:c r="K154" s="61"/>
      <x:c r="L154" s="61"/>
      <x:c r="M154" s="61"/>
      <x:c r="N154" s="61"/>
      <x:c r="O154" s="61"/>
      <x:c r="P154" s="61"/>
      <x:c r="Q154" s="61"/>
    </x:row>
    <x:row r="155">
      <x:c r="A155" s="61"/>
      <x:c r="B155" s="61"/>
      <x:c r="C155" s="61"/>
      <x:c r="D155" s="61"/>
      <x:c r="E155" s="61"/>
      <x:c r="F155" s="61"/>
      <x:c r="G155" s="61"/>
      <x:c r="H155" s="61"/>
      <x:c r="I155" s="61"/>
      <x:c r="J155" s="61"/>
      <x:c r="K155" s="61"/>
      <x:c r="L155" s="61"/>
      <x:c r="M155" s="61"/>
      <x:c r="N155" s="61"/>
      <x:c r="O155" s="61"/>
      <x:c r="P155" s="61"/>
      <x:c r="Q155" s="61"/>
    </x:row>
    <x:row r="156">
      <x:c r="A156" s="61"/>
      <x:c r="B156" s="61"/>
      <x:c r="C156" s="61"/>
      <x:c r="D156" s="61"/>
      <x:c r="E156" s="61"/>
      <x:c r="F156" s="61"/>
      <x:c r="G156" s="61"/>
      <x:c r="H156" s="61"/>
      <x:c r="I156" s="61"/>
      <x:c r="J156" s="61"/>
      <x:c r="K156" s="61"/>
      <x:c r="L156" s="61"/>
      <x:c r="M156" s="61"/>
      <x:c r="N156" s="61"/>
      <x:c r="O156" s="61"/>
      <x:c r="P156" s="61"/>
      <x:c r="Q156" s="61"/>
    </x:row>
    <x:row r="157">
      <x:c r="A157" s="61"/>
      <x:c r="B157" s="61"/>
      <x:c r="C157" s="61"/>
      <x:c r="D157" s="61"/>
      <x:c r="E157" s="61"/>
      <x:c r="F157" s="61"/>
      <x:c r="G157" s="61"/>
      <x:c r="H157" s="61"/>
      <x:c r="I157" s="61"/>
      <x:c r="J157" s="61"/>
      <x:c r="K157" s="61"/>
      <x:c r="L157" s="61"/>
      <x:c r="M157" s="61"/>
      <x:c r="N157" s="61"/>
      <x:c r="O157" s="61"/>
      <x:c r="P157" s="61"/>
      <x:c r="Q157" s="61"/>
    </x:row>
    <x:row r="158">
      <x:c r="A158" s="61"/>
      <x:c r="B158" s="61"/>
      <x:c r="C158" s="61"/>
      <x:c r="D158" s="61"/>
      <x:c r="E158" s="61"/>
      <x:c r="F158" s="61"/>
      <x:c r="G158" s="61"/>
      <x:c r="H158" s="61"/>
      <x:c r="I158" s="61"/>
      <x:c r="J158" s="61"/>
      <x:c r="K158" s="61"/>
      <x:c r="L158" s="61"/>
      <x:c r="M158" s="61"/>
      <x:c r="N158" s="61"/>
      <x:c r="O158" s="61"/>
      <x:c r="P158" s="61"/>
      <x:c r="Q158" s="61"/>
    </x:row>
    <x:row r="159">
      <x:c r="A159" s="61"/>
      <x:c r="B159" s="61"/>
      <x:c r="C159" s="61"/>
      <x:c r="D159" s="61"/>
      <x:c r="E159" s="61"/>
      <x:c r="F159" s="61"/>
      <x:c r="G159" s="61"/>
      <x:c r="H159" s="61"/>
      <x:c r="I159" s="61"/>
      <x:c r="J159" s="61"/>
      <x:c r="K159" s="61"/>
      <x:c r="L159" s="61"/>
      <x:c r="M159" s="61"/>
      <x:c r="N159" s="61"/>
      <x:c r="O159" s="61"/>
      <x:c r="P159" s="61"/>
      <x:c r="Q159" s="61"/>
    </x:row>
    <x:row r="160">
      <x:c r="A160" s="61"/>
      <x:c r="B160" s="61"/>
      <x:c r="C160" s="61"/>
      <x:c r="D160" s="61"/>
      <x:c r="E160" s="61"/>
      <x:c r="F160" s="61"/>
      <x:c r="G160" s="61"/>
      <x:c r="H160" s="61"/>
      <x:c r="I160" s="61"/>
      <x:c r="J160" s="61"/>
      <x:c r="K160" s="61"/>
      <x:c r="L160" s="61"/>
      <x:c r="M160" s="61"/>
      <x:c r="N160" s="61"/>
      <x:c r="O160" s="61"/>
      <x:c r="P160" s="61"/>
      <x:c r="Q160" s="61"/>
    </x:row>
    <x:row r="161">
      <x:c r="A161" s="61"/>
      <x:c r="B161" s="61"/>
      <x:c r="C161" s="61"/>
      <x:c r="D161" s="61"/>
      <x:c r="E161" s="61"/>
      <x:c r="F161" s="61"/>
      <x:c r="G161" s="61"/>
      <x:c r="H161" s="61"/>
      <x:c r="I161" s="61"/>
      <x:c r="J161" s="61"/>
      <x:c r="K161" s="61"/>
      <x:c r="L161" s="61"/>
      <x:c r="M161" s="61"/>
      <x:c r="N161" s="61"/>
      <x:c r="O161" s="61"/>
      <x:c r="P161" s="61"/>
      <x:c r="Q161" s="61"/>
    </x:row>
    <x:row r="162">
      <x:c r="A162" s="61"/>
      <x:c r="B162" s="61"/>
      <x:c r="C162" s="61"/>
      <x:c r="D162" s="61"/>
      <x:c r="E162" s="61"/>
      <x:c r="F162" s="61"/>
      <x:c r="G162" s="61"/>
      <x:c r="H162" s="61"/>
      <x:c r="I162" s="61"/>
      <x:c r="J162" s="61"/>
      <x:c r="K162" s="61"/>
      <x:c r="L162" s="61"/>
      <x:c r="M162" s="61"/>
      <x:c r="N162" s="61"/>
      <x:c r="O162" s="61"/>
      <x:c r="P162" s="61"/>
      <x:c r="Q162" s="61"/>
    </x:row>
    <x:row r="163">
      <x:c r="A163" s="61"/>
      <x:c r="B163" s="61"/>
      <x:c r="C163" s="61"/>
      <x:c r="D163" s="61"/>
      <x:c r="E163" s="61"/>
      <x:c r="F163" s="61"/>
      <x:c r="G163" s="61"/>
      <x:c r="H163" s="61"/>
      <x:c r="I163" s="61"/>
      <x:c r="J163" s="61"/>
      <x:c r="K163" s="61"/>
      <x:c r="L163" s="61"/>
      <x:c r="M163" s="61"/>
      <x:c r="N163" s="61"/>
      <x:c r="O163" s="61"/>
      <x:c r="P163" s="61"/>
      <x:c r="Q163" s="61"/>
    </x:row>
    <x:row r="164">
      <x:c r="A164" s="61"/>
      <x:c r="B164" s="61"/>
      <x:c r="C164" s="61"/>
      <x:c r="D164" s="61"/>
      <x:c r="E164" s="61"/>
      <x:c r="F164" s="61"/>
      <x:c r="G164" s="61"/>
      <x:c r="H164" s="61"/>
      <x:c r="I164" s="61"/>
      <x:c r="J164" s="61"/>
      <x:c r="K164" s="61"/>
      <x:c r="L164" s="61"/>
      <x:c r="M164" s="61"/>
      <x:c r="N164" s="61"/>
      <x:c r="O164" s="61"/>
      <x:c r="P164" s="61"/>
      <x:c r="Q164" s="61"/>
    </x:row>
    <x:row r="165">
      <x:c r="A165" s="61"/>
      <x:c r="B165" s="61"/>
      <x:c r="C165" s="61"/>
      <x:c r="D165" s="61"/>
      <x:c r="E165" s="61"/>
      <x:c r="F165" s="61"/>
      <x:c r="G165" s="61"/>
      <x:c r="H165" s="61"/>
      <x:c r="I165" s="61"/>
      <x:c r="J165" s="61"/>
      <x:c r="K165" s="61"/>
      <x:c r="L165" s="61"/>
      <x:c r="M165" s="61"/>
      <x:c r="N165" s="61"/>
      <x:c r="O165" s="61"/>
      <x:c r="P165" s="61"/>
      <x:c r="Q165" s="61"/>
    </x:row>
    <x:row r="166">
      <x:c r="A166" s="61"/>
      <x:c r="B166" s="61"/>
      <x:c r="C166" s="61"/>
      <x:c r="D166" s="61"/>
      <x:c r="E166" s="61"/>
      <x:c r="F166" s="61"/>
      <x:c r="G166" s="61"/>
      <x:c r="H166" s="61"/>
      <x:c r="I166" s="61"/>
      <x:c r="J166" s="61"/>
      <x:c r="K166" s="61"/>
      <x:c r="L166" s="61"/>
      <x:c r="M166" s="61"/>
      <x:c r="N166" s="61"/>
      <x:c r="O166" s="61"/>
      <x:c r="P166" s="61"/>
      <x:c r="Q166" s="61"/>
    </x:row>
    <x:row r="167">
      <x:c r="A167" s="61"/>
      <x:c r="B167" s="61"/>
      <x:c r="C167" s="61"/>
      <x:c r="D167" s="61"/>
      <x:c r="E167" s="61"/>
      <x:c r="F167" s="61"/>
      <x:c r="G167" s="61"/>
      <x:c r="H167" s="61"/>
      <x:c r="I167" s="61"/>
      <x:c r="J167" s="61"/>
      <x:c r="K167" s="61"/>
      <x:c r="L167" s="61"/>
      <x:c r="M167" s="61"/>
      <x:c r="N167" s="61"/>
      <x:c r="O167" s="61"/>
      <x:c r="P167" s="61"/>
      <x:c r="Q167" s="61"/>
    </x:row>
    <x:row r="168">
      <x:c r="A168" s="61"/>
      <x:c r="B168" s="61"/>
      <x:c r="C168" s="61"/>
      <x:c r="D168" s="61"/>
      <x:c r="E168" s="61"/>
      <x:c r="F168" s="61"/>
      <x:c r="G168" s="61"/>
      <x:c r="H168" s="61"/>
      <x:c r="I168" s="61"/>
      <x:c r="J168" s="61"/>
      <x:c r="K168" s="61"/>
      <x:c r="L168" s="61"/>
      <x:c r="M168" s="61"/>
      <x:c r="N168" s="61"/>
      <x:c r="O168" s="61"/>
      <x:c r="P168" s="61"/>
      <x:c r="Q168" s="61"/>
    </x:row>
    <x:row r="169">
      <x:c r="A169" s="61"/>
      <x:c r="B169" s="61"/>
      <x:c r="C169" s="61"/>
      <x:c r="D169" s="61"/>
      <x:c r="E169" s="61"/>
      <x:c r="F169" s="61"/>
      <x:c r="G169" s="61"/>
      <x:c r="H169" s="61"/>
      <x:c r="I169" s="61"/>
      <x:c r="J169" s="61"/>
      <x:c r="K169" s="61"/>
      <x:c r="L169" s="61"/>
      <x:c r="M169" s="61"/>
      <x:c r="N169" s="61"/>
      <x:c r="O169" s="61"/>
      <x:c r="P169" s="61"/>
      <x:c r="Q169" s="61"/>
    </x:row>
    <x:row r="170">
      <x:c r="A170" s="61"/>
      <x:c r="B170" s="61"/>
      <x:c r="C170" s="61"/>
      <x:c r="D170" s="61"/>
      <x:c r="E170" s="61"/>
      <x:c r="F170" s="61"/>
      <x:c r="G170" s="61"/>
      <x:c r="H170" s="61"/>
      <x:c r="I170" s="61"/>
      <x:c r="J170" s="61"/>
      <x:c r="K170" s="61"/>
      <x:c r="L170" s="61"/>
      <x:c r="M170" s="61"/>
      <x:c r="N170" s="61"/>
      <x:c r="O170" s="61"/>
      <x:c r="P170" s="61"/>
      <x:c r="Q170" s="61"/>
    </x:row>
    <x:row r="171">
      <x:c r="A171" s="61"/>
      <x:c r="B171" s="61"/>
      <x:c r="C171" s="61"/>
      <x:c r="D171" s="61"/>
      <x:c r="E171" s="61"/>
      <x:c r="F171" s="61"/>
      <x:c r="G171" s="61"/>
      <x:c r="H171" s="61"/>
      <x:c r="I171" s="61"/>
      <x:c r="J171" s="61"/>
      <x:c r="K171" s="61"/>
      <x:c r="L171" s="61"/>
      <x:c r="M171" s="61"/>
      <x:c r="N171" s="61"/>
      <x:c r="O171" s="61"/>
      <x:c r="P171" s="61"/>
      <x:c r="Q171" s="61"/>
    </x:row>
    <x:row r="172">
      <x:c r="A172" s="61"/>
      <x:c r="B172" s="61"/>
      <x:c r="C172" s="61"/>
      <x:c r="D172" s="61"/>
      <x:c r="E172" s="61"/>
      <x:c r="F172" s="61"/>
      <x:c r="G172" s="61"/>
      <x:c r="H172" s="61"/>
      <x:c r="I172" s="61"/>
      <x:c r="J172" s="61"/>
      <x:c r="K172" s="61"/>
      <x:c r="L172" s="61"/>
      <x:c r="M172" s="61"/>
      <x:c r="N172" s="61"/>
      <x:c r="O172" s="61"/>
      <x:c r="P172" s="61"/>
      <x:c r="Q172" s="61"/>
    </x:row>
    <x:row r="173">
      <x:c r="A173" s="61"/>
      <x:c r="B173" s="61"/>
      <x:c r="C173" s="61"/>
      <x:c r="D173" s="61"/>
      <x:c r="E173" s="61"/>
      <x:c r="F173" s="61"/>
      <x:c r="G173" s="61"/>
      <x:c r="H173" s="61"/>
      <x:c r="I173" s="61"/>
      <x:c r="J173" s="61"/>
      <x:c r="K173" s="61"/>
      <x:c r="L173" s="61"/>
      <x:c r="M173" s="61"/>
      <x:c r="N173" s="61"/>
      <x:c r="O173" s="61"/>
      <x:c r="P173" s="61"/>
      <x:c r="Q173" s="61"/>
    </x:row>
    <x:row r="174">
      <x:c r="A174" s="61"/>
      <x:c r="B174" s="61"/>
      <x:c r="C174" s="61"/>
      <x:c r="D174" s="61"/>
      <x:c r="E174" s="61"/>
      <x:c r="F174" s="61"/>
      <x:c r="G174" s="61"/>
      <x:c r="H174" s="61"/>
      <x:c r="I174" s="61"/>
      <x:c r="J174" s="61"/>
      <x:c r="K174" s="61"/>
      <x:c r="L174" s="61"/>
      <x:c r="M174" s="61"/>
      <x:c r="N174" s="61"/>
      <x:c r="O174" s="61"/>
      <x:c r="P174" s="61"/>
      <x:c r="Q174" s="61"/>
    </x:row>
    <x:row r="175">
      <x:c r="A175" s="61"/>
      <x:c r="B175" s="61"/>
      <x:c r="C175" s="61"/>
      <x:c r="D175" s="61"/>
      <x:c r="E175" s="61"/>
      <x:c r="F175" s="61"/>
      <x:c r="G175" s="61"/>
      <x:c r="H175" s="61"/>
      <x:c r="I175" s="61"/>
      <x:c r="J175" s="61"/>
      <x:c r="K175" s="61"/>
      <x:c r="L175" s="61"/>
      <x:c r="M175" s="61"/>
      <x:c r="N175" s="61"/>
      <x:c r="O175" s="61"/>
      <x:c r="P175" s="61"/>
      <x:c r="Q175" s="61"/>
    </x:row>
    <x:row r="176">
      <x:c r="A176" s="61"/>
      <x:c r="B176" s="61"/>
      <x:c r="C176" s="61"/>
      <x:c r="D176" s="61"/>
      <x:c r="E176" s="61"/>
      <x:c r="F176" s="61"/>
      <x:c r="G176" s="61"/>
      <x:c r="H176" s="61"/>
      <x:c r="I176" s="61"/>
      <x:c r="J176" s="61"/>
      <x:c r="K176" s="61"/>
      <x:c r="L176" s="61"/>
      <x:c r="M176" s="61"/>
      <x:c r="N176" s="61"/>
      <x:c r="O176" s="61"/>
      <x:c r="P176" s="61"/>
      <x:c r="Q176" s="61"/>
    </x:row>
    <x:row r="177">
      <x:c r="A177" s="61"/>
      <x:c r="B177" s="61"/>
      <x:c r="C177" s="61"/>
      <x:c r="D177" s="61"/>
      <x:c r="E177" s="61"/>
      <x:c r="F177" s="61"/>
      <x:c r="G177" s="61"/>
      <x:c r="H177" s="61"/>
      <x:c r="I177" s="61"/>
      <x:c r="J177" s="61"/>
      <x:c r="K177" s="61"/>
      <x:c r="L177" s="61"/>
      <x:c r="M177" s="61"/>
      <x:c r="N177" s="61"/>
      <x:c r="O177" s="61"/>
      <x:c r="P177" s="61"/>
      <x:c r="Q177" s="61"/>
    </x:row>
    <x:row r="178">
      <x:c r="A178" s="61"/>
      <x:c r="B178" s="61"/>
      <x:c r="C178" s="61"/>
      <x:c r="D178" s="61"/>
      <x:c r="E178" s="61"/>
      <x:c r="F178" s="61"/>
      <x:c r="G178" s="61"/>
      <x:c r="H178" s="61"/>
      <x:c r="I178" s="61"/>
      <x:c r="J178" s="61"/>
      <x:c r="K178" s="61"/>
      <x:c r="L178" s="61"/>
      <x:c r="M178" s="61"/>
      <x:c r="N178" s="61"/>
      <x:c r="O178" s="61"/>
      <x:c r="P178" s="61"/>
      <x:c r="Q178" s="61"/>
    </x:row>
    <x:row r="179">
      <x:c r="A179" s="61"/>
      <x:c r="B179" s="61"/>
      <x:c r="C179" s="61"/>
      <x:c r="D179" s="61"/>
      <x:c r="E179" s="61"/>
      <x:c r="F179" s="61"/>
      <x:c r="G179" s="61"/>
      <x:c r="H179" s="61"/>
      <x:c r="I179" s="61"/>
      <x:c r="J179" s="61"/>
      <x:c r="K179" s="61"/>
      <x:c r="L179" s="61"/>
      <x:c r="M179" s="61"/>
      <x:c r="N179" s="61"/>
      <x:c r="O179" s="61"/>
      <x:c r="P179" s="61"/>
      <x:c r="Q179" s="61"/>
    </x:row>
    <x:row r="180">
      <x:c r="A180" s="61"/>
      <x:c r="B180" s="61"/>
      <x:c r="C180" s="61"/>
      <x:c r="D180" s="61"/>
      <x:c r="E180" s="61"/>
      <x:c r="F180" s="61"/>
      <x:c r="G180" s="61"/>
      <x:c r="H180" s="61"/>
      <x:c r="I180" s="61"/>
      <x:c r="J180" s="61"/>
      <x:c r="K180" s="61"/>
      <x:c r="L180" s="61"/>
      <x:c r="M180" s="61"/>
      <x:c r="N180" s="61"/>
      <x:c r="O180" s="61"/>
      <x:c r="P180" s="61"/>
      <x:c r="Q180" s="61"/>
    </x:row>
    <x:row r="181">
      <x:c r="A181" s="61"/>
      <x:c r="B181" s="61"/>
      <x:c r="C181" s="61"/>
      <x:c r="D181" s="61"/>
      <x:c r="E181" s="61"/>
      <x:c r="F181" s="61"/>
      <x:c r="G181" s="61"/>
      <x:c r="H181" s="61"/>
      <x:c r="I181" s="61"/>
      <x:c r="J181" s="61"/>
      <x:c r="K181" s="61"/>
      <x:c r="L181" s="61"/>
      <x:c r="M181" s="61"/>
      <x:c r="N181" s="61"/>
      <x:c r="O181" s="61"/>
      <x:c r="P181" s="61"/>
      <x:c r="Q181" s="61"/>
    </x:row>
    <x:row r="182">
      <x:c r="A182" s="61"/>
      <x:c r="B182" s="61"/>
      <x:c r="C182" s="61"/>
      <x:c r="D182" s="61"/>
      <x:c r="E182" s="61"/>
      <x:c r="F182" s="61"/>
      <x:c r="G182" s="61"/>
      <x:c r="H182" s="61"/>
      <x:c r="I182" s="61"/>
      <x:c r="J182" s="61"/>
      <x:c r="K182" s="61"/>
      <x:c r="L182" s="61"/>
      <x:c r="M182" s="61"/>
      <x:c r="N182" s="61"/>
      <x:c r="O182" s="61"/>
      <x:c r="P182" s="61"/>
      <x:c r="Q182" s="61"/>
    </x:row>
    <x:row r="183">
      <x:c r="A183" s="61"/>
      <x:c r="B183" s="61"/>
      <x:c r="C183" s="61"/>
      <x:c r="D183" s="61"/>
      <x:c r="E183" s="61"/>
      <x:c r="F183" s="61"/>
      <x:c r="G183" s="61"/>
      <x:c r="H183" s="61"/>
      <x:c r="I183" s="61"/>
      <x:c r="J183" s="61"/>
      <x:c r="K183" s="61"/>
      <x:c r="L183" s="61"/>
      <x:c r="M183" s="61"/>
      <x:c r="N183" s="61"/>
      <x:c r="O183" s="61"/>
      <x:c r="P183" s="61"/>
      <x:c r="Q183" s="61"/>
    </x:row>
    <x:row r="184">
      <x:c r="A184" s="61"/>
      <x:c r="B184" s="61"/>
      <x:c r="C184" s="61"/>
      <x:c r="D184" s="61"/>
      <x:c r="E184" s="61"/>
      <x:c r="F184" s="61"/>
      <x:c r="G184" s="61"/>
      <x:c r="H184" s="61"/>
      <x:c r="I184" s="61"/>
      <x:c r="J184" s="61"/>
      <x:c r="K184" s="61"/>
      <x:c r="L184" s="61"/>
      <x:c r="M184" s="61"/>
      <x:c r="N184" s="61"/>
      <x:c r="O184" s="61"/>
      <x:c r="P184" s="61"/>
      <x:c r="Q184" s="61"/>
    </x:row>
    <x:row r="185">
      <x:c r="A185" s="61"/>
      <x:c r="B185" s="61"/>
      <x:c r="C185" s="61"/>
      <x:c r="D185" s="61"/>
      <x:c r="E185" s="61"/>
      <x:c r="F185" s="61"/>
      <x:c r="G185" s="61"/>
      <x:c r="H185" s="61"/>
      <x:c r="I185" s="61"/>
      <x:c r="J185" s="61"/>
      <x:c r="K185" s="61"/>
      <x:c r="L185" s="61"/>
      <x:c r="M185" s="61"/>
      <x:c r="N185" s="61"/>
      <x:c r="O185" s="61"/>
      <x:c r="P185" s="61"/>
      <x:c r="Q185" s="61"/>
    </x:row>
    <x:row r="186">
      <x:c r="A186" s="61"/>
      <x:c r="B186" s="61"/>
      <x:c r="C186" s="61"/>
      <x:c r="D186" s="61"/>
      <x:c r="E186" s="61"/>
      <x:c r="F186" s="61"/>
      <x:c r="G186" s="61"/>
      <x:c r="H186" s="61"/>
      <x:c r="I186" s="61"/>
      <x:c r="J186" s="61"/>
      <x:c r="K186" s="61"/>
      <x:c r="L186" s="61"/>
      <x:c r="M186" s="61"/>
      <x:c r="N186" s="61"/>
      <x:c r="O186" s="61"/>
      <x:c r="P186" s="61"/>
      <x:c r="Q186" s="61"/>
    </x:row>
    <x:row r="187">
      <x:c r="A187" s="61"/>
      <x:c r="B187" s="61"/>
      <x:c r="C187" s="61"/>
      <x:c r="D187" s="61"/>
      <x:c r="E187" s="61"/>
      <x:c r="F187" s="61"/>
      <x:c r="G187" s="61"/>
      <x:c r="H187" s="61"/>
      <x:c r="I187" s="61"/>
      <x:c r="J187" s="61"/>
      <x:c r="K187" s="61"/>
      <x:c r="L187" s="61"/>
      <x:c r="M187" s="61"/>
      <x:c r="N187" s="61"/>
      <x:c r="O187" s="61"/>
      <x:c r="P187" s="61"/>
      <x:c r="Q187" s="61"/>
    </x:row>
    <x:row r="188">
      <x:c r="A188" s="61"/>
      <x:c r="B188" s="61"/>
      <x:c r="C188" s="61"/>
      <x:c r="D188" s="61"/>
      <x:c r="E188" s="61"/>
      <x:c r="F188" s="61"/>
      <x:c r="G188" s="61"/>
      <x:c r="H188" s="61"/>
      <x:c r="I188" s="61"/>
      <x:c r="J188" s="61"/>
      <x:c r="K188" s="61"/>
      <x:c r="L188" s="61"/>
      <x:c r="M188" s="61"/>
      <x:c r="N188" s="61"/>
      <x:c r="O188" s="61"/>
      <x:c r="P188" s="61"/>
      <x:c r="Q188" s="61"/>
    </x:row>
    <x:row r="189">
      <x:c r="A189" s="61"/>
      <x:c r="B189" s="61"/>
      <x:c r="C189" s="61"/>
      <x:c r="D189" s="61"/>
      <x:c r="E189" s="61"/>
      <x:c r="F189" s="61"/>
      <x:c r="G189" s="61"/>
      <x:c r="H189" s="61"/>
      <x:c r="I189" s="61"/>
      <x:c r="J189" s="61"/>
      <x:c r="K189" s="61"/>
      <x:c r="L189" s="61"/>
      <x:c r="M189" s="61"/>
      <x:c r="N189" s="61"/>
      <x:c r="O189" s="61"/>
      <x:c r="P189" s="61"/>
      <x:c r="Q189" s="61"/>
    </x:row>
    <x:row r="190">
      <x:c r="A190" s="61"/>
      <x:c r="B190" s="61"/>
      <x:c r="C190" s="61"/>
      <x:c r="D190" s="61"/>
      <x:c r="E190" s="61"/>
      <x:c r="F190" s="61"/>
      <x:c r="G190" s="61"/>
      <x:c r="H190" s="61"/>
      <x:c r="I190" s="61"/>
      <x:c r="J190" s="61"/>
      <x:c r="K190" s="61"/>
      <x:c r="L190" s="61"/>
      <x:c r="M190" s="61"/>
      <x:c r="N190" s="61"/>
      <x:c r="O190" s="61"/>
      <x:c r="P190" s="61"/>
      <x:c r="Q190" s="61"/>
    </x:row>
    <x:row r="191">
      <x:c r="A191" s="61"/>
      <x:c r="B191" s="61"/>
      <x:c r="C191" s="61"/>
      <x:c r="D191" s="61"/>
      <x:c r="E191" s="61"/>
      <x:c r="F191" s="61"/>
      <x:c r="G191" s="61"/>
      <x:c r="H191" s="61"/>
      <x:c r="I191" s="61"/>
      <x:c r="J191" s="61"/>
      <x:c r="K191" s="61"/>
      <x:c r="L191" s="61"/>
      <x:c r="M191" s="61"/>
      <x:c r="N191" s="61"/>
      <x:c r="O191" s="61"/>
      <x:c r="P191" s="61"/>
      <x:c r="Q191" s="61"/>
    </x:row>
    <x:row r="192">
      <x:c r="A192" s="61"/>
      <x:c r="B192" s="61"/>
      <x:c r="C192" s="61"/>
      <x:c r="D192" s="61"/>
      <x:c r="E192" s="61"/>
      <x:c r="F192" s="61"/>
      <x:c r="G192" s="61"/>
      <x:c r="H192" s="61"/>
      <x:c r="I192" s="61"/>
      <x:c r="J192" s="61"/>
      <x:c r="K192" s="61"/>
      <x:c r="L192" s="61"/>
      <x:c r="M192" s="61"/>
      <x:c r="N192" s="61"/>
      <x:c r="O192" s="61"/>
      <x:c r="P192" s="61"/>
      <x:c r="Q192" s="61"/>
    </x:row>
    <x:row r="193">
      <x:c r="A193" s="61"/>
      <x:c r="B193" s="61"/>
      <x:c r="C193" s="61"/>
      <x:c r="D193" s="61"/>
      <x:c r="E193" s="61"/>
      <x:c r="F193" s="61"/>
      <x:c r="G193" s="61"/>
      <x:c r="H193" s="61"/>
      <x:c r="I193" s="61"/>
      <x:c r="J193" s="61"/>
      <x:c r="K193" s="61"/>
      <x:c r="L193" s="61"/>
      <x:c r="M193" s="61"/>
      <x:c r="N193" s="61"/>
      <x:c r="O193" s="61"/>
      <x:c r="P193" s="61"/>
      <x:c r="Q193" s="61"/>
    </x:row>
    <x:row r="194">
      <x:c r="A194" s="61"/>
      <x:c r="B194" s="61"/>
      <x:c r="C194" s="61"/>
      <x:c r="D194" s="61"/>
      <x:c r="E194" s="61"/>
      <x:c r="F194" s="61"/>
      <x:c r="G194" s="61"/>
      <x:c r="H194" s="61"/>
      <x:c r="I194" s="61"/>
      <x:c r="J194" s="61"/>
      <x:c r="K194" s="61"/>
      <x:c r="L194" s="61"/>
      <x:c r="M194" s="61"/>
      <x:c r="N194" s="61"/>
      <x:c r="O194" s="61"/>
      <x:c r="P194" s="61"/>
      <x:c r="Q194" s="61"/>
    </x:row>
    <x:row r="195">
      <x:c r="A195" s="61"/>
      <x:c r="B195" s="61"/>
      <x:c r="C195" s="61"/>
      <x:c r="D195" s="61"/>
      <x:c r="E195" s="61"/>
      <x:c r="F195" s="61"/>
      <x:c r="G195" s="61"/>
      <x:c r="H195" s="61"/>
      <x:c r="I195" s="61"/>
      <x:c r="J195" s="61"/>
      <x:c r="K195" s="61"/>
      <x:c r="L195" s="61"/>
      <x:c r="M195" s="61"/>
      <x:c r="N195" s="61"/>
      <x:c r="O195" s="61"/>
      <x:c r="P195" s="61"/>
      <x:c r="Q195" s="61"/>
    </x:row>
    <x:row r="196">
      <x:c r="A196" s="61"/>
      <x:c r="B196" s="61"/>
      <x:c r="C196" s="61"/>
      <x:c r="D196" s="61"/>
      <x:c r="E196" s="61"/>
      <x:c r="F196" s="61"/>
      <x:c r="G196" s="61"/>
      <x:c r="H196" s="61"/>
      <x:c r="I196" s="61"/>
      <x:c r="J196" s="61"/>
      <x:c r="K196" s="61"/>
      <x:c r="L196" s="61"/>
      <x:c r="M196" s="61"/>
      <x:c r="N196" s="61"/>
      <x:c r="O196" s="61"/>
      <x:c r="P196" s="61"/>
      <x:c r="Q196" s="61"/>
    </x:row>
    <x:row r="197">
      <x:c r="A197" s="61"/>
      <x:c r="B197" s="61"/>
      <x:c r="C197" s="61"/>
      <x:c r="D197" s="61"/>
      <x:c r="E197" s="61"/>
      <x:c r="F197" s="61"/>
      <x:c r="G197" s="61"/>
      <x:c r="H197" s="61"/>
      <x:c r="I197" s="61"/>
      <x:c r="J197" s="61"/>
      <x:c r="K197" s="61"/>
      <x:c r="L197" s="61"/>
      <x:c r="M197" s="61"/>
      <x:c r="N197" s="61"/>
      <x:c r="O197" s="61"/>
      <x:c r="P197" s="61"/>
      <x:c r="Q197" s="61"/>
    </x:row>
    <x:row r="198">
      <x:c r="A198" s="61"/>
      <x:c r="B198" s="61"/>
      <x:c r="C198" s="61"/>
      <x:c r="D198" s="61"/>
      <x:c r="E198" s="61"/>
      <x:c r="F198" s="61"/>
      <x:c r="G198" s="61"/>
      <x:c r="H198" s="61"/>
      <x:c r="I198" s="61"/>
      <x:c r="J198" s="61"/>
      <x:c r="K198" s="61"/>
      <x:c r="L198" s="61"/>
      <x:c r="M198" s="61"/>
      <x:c r="N198" s="61"/>
      <x:c r="O198" s="61"/>
      <x:c r="P198" s="61"/>
      <x:c r="Q198" s="61"/>
    </x:row>
    <x:row r="199">
      <x:c r="A199" s="61"/>
      <x:c r="B199" s="61"/>
      <x:c r="C199" s="61"/>
      <x:c r="D199" s="61"/>
      <x:c r="E199" s="61"/>
      <x:c r="F199" s="61"/>
      <x:c r="G199" s="61"/>
      <x:c r="H199" s="61"/>
      <x:c r="I199" s="61"/>
      <x:c r="J199" s="61"/>
      <x:c r="K199" s="61"/>
      <x:c r="L199" s="61"/>
      <x:c r="M199" s="61"/>
      <x:c r="N199" s="61"/>
      <x:c r="O199" s="61"/>
      <x:c r="P199" s="61"/>
      <x:c r="Q199" s="61"/>
    </x:row>
    <x:row r="200">
      <x:c r="A200" s="61"/>
      <x:c r="B200" s="61"/>
      <x:c r="C200" s="61"/>
      <x:c r="D200" s="61"/>
      <x:c r="E200" s="61"/>
      <x:c r="F200" s="61"/>
      <x:c r="G200" s="61"/>
      <x:c r="H200" s="61"/>
      <x:c r="I200" s="61"/>
      <x:c r="J200" s="61"/>
      <x:c r="K200" s="61"/>
      <x:c r="L200" s="61"/>
      <x:c r="M200" s="61"/>
      <x:c r="N200" s="61"/>
      <x:c r="O200" s="61"/>
      <x:c r="P200" s="61"/>
      <x:c r="Q200" s="61"/>
    </x:row>
    <x:row r="201">
      <x:c r="A201" s="61"/>
      <x:c r="B201" s="61"/>
      <x:c r="C201" s="61"/>
      <x:c r="D201" s="61"/>
      <x:c r="E201" s="61"/>
      <x:c r="F201" s="61"/>
      <x:c r="G201" s="61"/>
      <x:c r="H201" s="61"/>
      <x:c r="I201" s="61"/>
      <x:c r="J201" s="61"/>
      <x:c r="K201" s="61"/>
      <x:c r="L201" s="61"/>
      <x:c r="M201" s="61"/>
      <x:c r="N201" s="61"/>
      <x:c r="O201" s="61"/>
      <x:c r="P201" s="61"/>
      <x:c r="Q201" s="61"/>
    </x:row>
    <x:row r="202">
      <x:c r="A202" s="61"/>
      <x:c r="B202" s="61"/>
      <x:c r="C202" s="61"/>
      <x:c r="D202" s="61"/>
      <x:c r="E202" s="61"/>
      <x:c r="F202" s="61"/>
      <x:c r="G202" s="61"/>
      <x:c r="H202" s="61"/>
      <x:c r="I202" s="61"/>
      <x:c r="J202" s="61"/>
      <x:c r="K202" s="61"/>
      <x:c r="L202" s="61"/>
      <x:c r="M202" s="61"/>
      <x:c r="N202" s="61"/>
      <x:c r="O202" s="61"/>
      <x:c r="P202" s="61"/>
      <x:c r="Q202" s="61"/>
    </x:row>
    <x:row r="203">
      <x:c r="A203" s="61"/>
      <x:c r="B203" s="61"/>
      <x:c r="C203" s="61"/>
      <x:c r="D203" s="61"/>
      <x:c r="E203" s="61"/>
      <x:c r="F203" s="61"/>
      <x:c r="G203" s="61"/>
      <x:c r="H203" s="61"/>
      <x:c r="I203" s="61"/>
      <x:c r="J203" s="61"/>
      <x:c r="K203" s="61"/>
      <x:c r="L203" s="61"/>
      <x:c r="M203" s="61"/>
      <x:c r="N203" s="61"/>
      <x:c r="O203" s="61"/>
      <x:c r="P203" s="61"/>
      <x:c r="Q203" s="61"/>
    </x:row>
    <x:row r="204">
      <x:c r="A204" s="61"/>
      <x:c r="B204" s="61"/>
      <x:c r="C204" s="61"/>
      <x:c r="D204" s="61"/>
      <x:c r="E204" s="61"/>
      <x:c r="F204" s="61"/>
      <x:c r="G204" s="61"/>
      <x:c r="H204" s="61"/>
      <x:c r="I204" s="61"/>
      <x:c r="J204" s="61"/>
      <x:c r="K204" s="61"/>
      <x:c r="L204" s="61"/>
      <x:c r="M204" s="61"/>
      <x:c r="N204" s="61"/>
      <x:c r="O204" s="61"/>
      <x:c r="P204" s="61"/>
      <x:c r="Q204" s="61"/>
    </x:row>
    <x:row r="205">
      <x:c r="A205" s="61"/>
      <x:c r="B205" s="61"/>
      <x:c r="C205" s="61"/>
      <x:c r="D205" s="61"/>
      <x:c r="E205" s="61"/>
      <x:c r="F205" s="61"/>
      <x:c r="G205" s="61"/>
      <x:c r="H205" s="61"/>
      <x:c r="I205" s="61"/>
      <x:c r="J205" s="61"/>
      <x:c r="K205" s="61"/>
      <x:c r="L205" s="61"/>
      <x:c r="M205" s="61"/>
      <x:c r="N205" s="61"/>
      <x:c r="O205" s="61"/>
      <x:c r="P205" s="61"/>
      <x:c r="Q205" s="61"/>
    </x:row>
    <x:row r="206">
      <x:c r="A206" s="61"/>
      <x:c r="B206" s="61"/>
      <x:c r="C206" s="61"/>
      <x:c r="D206" s="61"/>
      <x:c r="E206" s="61"/>
      <x:c r="F206" s="61"/>
      <x:c r="G206" s="61"/>
      <x:c r="H206" s="61"/>
      <x:c r="I206" s="61"/>
      <x:c r="J206" s="61"/>
      <x:c r="K206" s="61"/>
      <x:c r="L206" s="61"/>
      <x:c r="M206" s="61"/>
      <x:c r="N206" s="61"/>
      <x:c r="O206" s="61"/>
      <x:c r="P206" s="61"/>
      <x:c r="Q206" s="61"/>
    </x:row>
    <x:row r="207">
      <x:c r="A207" s="61"/>
      <x:c r="B207" s="61"/>
      <x:c r="C207" s="61"/>
      <x:c r="D207" s="61"/>
      <x:c r="E207" s="61"/>
      <x:c r="F207" s="61"/>
      <x:c r="G207" s="61"/>
      <x:c r="H207" s="61"/>
      <x:c r="I207" s="61"/>
      <x:c r="J207" s="61"/>
      <x:c r="K207" s="61"/>
      <x:c r="L207" s="61"/>
      <x:c r="M207" s="61"/>
      <x:c r="N207" s="61"/>
      <x:c r="O207" s="61"/>
      <x:c r="P207" s="61"/>
      <x:c r="Q207" s="61"/>
    </x:row>
    <x:row r="208">
      <x:c r="A208" s="61"/>
      <x:c r="B208" s="61"/>
      <x:c r="C208" s="61"/>
      <x:c r="D208" s="61"/>
      <x:c r="E208" s="61"/>
      <x:c r="F208" s="61"/>
      <x:c r="G208" s="61"/>
      <x:c r="H208" s="61"/>
      <x:c r="I208" s="61"/>
      <x:c r="J208" s="61"/>
      <x:c r="K208" s="61"/>
      <x:c r="L208" s="61"/>
      <x:c r="M208" s="61"/>
      <x:c r="N208" s="61"/>
      <x:c r="O208" s="61"/>
      <x:c r="P208" s="61"/>
      <x:c r="Q208" s="61"/>
    </x:row>
    <x:row r="209">
      <x:c r="A209" s="61"/>
      <x:c r="B209" s="61"/>
      <x:c r="C209" s="61"/>
      <x:c r="D209" s="61"/>
      <x:c r="E209" s="61"/>
      <x:c r="F209" s="61"/>
      <x:c r="G209" s="61"/>
      <x:c r="H209" s="61"/>
      <x:c r="I209" s="61"/>
      <x:c r="J209" s="61"/>
      <x:c r="K209" s="61"/>
      <x:c r="L209" s="61"/>
      <x:c r="M209" s="61"/>
      <x:c r="N209" s="61"/>
      <x:c r="O209" s="61"/>
      <x:c r="P209" s="61"/>
      <x:c r="Q209" s="61"/>
    </x:row>
    <x:row r="210">
      <x:c r="A210" s="61"/>
      <x:c r="B210" s="61"/>
      <x:c r="C210" s="61"/>
      <x:c r="D210" s="61"/>
      <x:c r="E210" s="61"/>
      <x:c r="F210" s="61"/>
      <x:c r="G210" s="61"/>
      <x:c r="H210" s="61"/>
      <x:c r="I210" s="61"/>
      <x:c r="J210" s="61"/>
      <x:c r="K210" s="61"/>
      <x:c r="L210" s="61"/>
      <x:c r="M210" s="61"/>
      <x:c r="N210" s="61"/>
      <x:c r="O210" s="61"/>
      <x:c r="P210" s="61"/>
      <x:c r="Q210" s="61"/>
    </x:row>
    <x:row r="211">
      <x:c r="A211" s="61"/>
      <x:c r="B211" s="61"/>
      <x:c r="C211" s="61"/>
      <x:c r="D211" s="61"/>
      <x:c r="E211" s="61"/>
      <x:c r="F211" s="61"/>
      <x:c r="G211" s="61"/>
      <x:c r="H211" s="61"/>
      <x:c r="I211" s="61"/>
      <x:c r="J211" s="61"/>
      <x:c r="K211" s="61"/>
      <x:c r="L211" s="61"/>
      <x:c r="M211" s="61"/>
      <x:c r="N211" s="61"/>
      <x:c r="O211" s="61"/>
      <x:c r="P211" s="61"/>
      <x:c r="Q211" s="61"/>
    </x:row>
    <x:row r="212">
      <x:c r="A212" s="61"/>
      <x:c r="B212" s="61"/>
      <x:c r="C212" s="61"/>
      <x:c r="D212" s="61"/>
      <x:c r="E212" s="61"/>
      <x:c r="F212" s="61"/>
      <x:c r="G212" s="61"/>
      <x:c r="H212" s="61"/>
      <x:c r="I212" s="61"/>
      <x:c r="J212" s="61"/>
      <x:c r="K212" s="61"/>
      <x:c r="L212" s="61"/>
      <x:c r="M212" s="61"/>
      <x:c r="N212" s="61"/>
      <x:c r="O212" s="61"/>
      <x:c r="P212" s="61"/>
      <x:c r="Q212" s="61"/>
    </x:row>
    <x:row r="213">
      <x:c r="A213" s="61"/>
      <x:c r="B213" s="61"/>
      <x:c r="C213" s="61"/>
      <x:c r="D213" s="61"/>
      <x:c r="E213" s="61"/>
      <x:c r="F213" s="61"/>
      <x:c r="G213" s="61"/>
      <x:c r="H213" s="61"/>
      <x:c r="I213" s="61"/>
      <x:c r="J213" s="61"/>
      <x:c r="K213" s="61"/>
      <x:c r="L213" s="61"/>
      <x:c r="M213" s="61"/>
      <x:c r="N213" s="61"/>
      <x:c r="O213" s="61"/>
      <x:c r="P213" s="61"/>
      <x:c r="Q213" s="61"/>
    </x:row>
    <x:row r="214">
      <x:c r="A214" s="61"/>
      <x:c r="B214" s="61"/>
      <x:c r="C214" s="61"/>
      <x:c r="D214" s="61"/>
      <x:c r="E214" s="61"/>
      <x:c r="F214" s="61"/>
      <x:c r="G214" s="61"/>
      <x:c r="H214" s="61"/>
      <x:c r="I214" s="61"/>
      <x:c r="J214" s="61"/>
      <x:c r="K214" s="61"/>
      <x:c r="L214" s="61"/>
      <x:c r="M214" s="61"/>
      <x:c r="N214" s="61"/>
      <x:c r="O214" s="61"/>
      <x:c r="P214" s="61"/>
      <x:c r="Q214" s="61"/>
    </x:row>
    <x:row r="215">
      <x:c r="A215" s="61"/>
      <x:c r="B215" s="61"/>
      <x:c r="C215" s="61"/>
      <x:c r="D215" s="61"/>
      <x:c r="E215" s="61"/>
      <x:c r="F215" s="61"/>
      <x:c r="G215" s="61"/>
      <x:c r="H215" s="61"/>
      <x:c r="I215" s="61"/>
      <x:c r="J215" s="61"/>
      <x:c r="K215" s="61"/>
      <x:c r="L215" s="61"/>
      <x:c r="M215" s="61"/>
      <x:c r="N215" s="61"/>
      <x:c r="O215" s="61"/>
      <x:c r="P215" s="61"/>
      <x:c r="Q215" s="61"/>
    </x:row>
    <x:row r="216">
      <x:c r="A216" s="61"/>
      <x:c r="B216" s="61"/>
      <x:c r="C216" s="61"/>
      <x:c r="D216" s="61"/>
      <x:c r="E216" s="61"/>
      <x:c r="F216" s="61"/>
      <x:c r="G216" s="61"/>
      <x:c r="H216" s="61"/>
      <x:c r="I216" s="61"/>
      <x:c r="J216" s="61"/>
      <x:c r="K216" s="61"/>
      <x:c r="L216" s="61"/>
      <x:c r="M216" s="61"/>
      <x:c r="N216" s="61"/>
      <x:c r="O216" s="61"/>
      <x:c r="P216" s="61"/>
      <x:c r="Q216" s="61"/>
    </x:row>
    <x:row r="217">
      <x:c r="A217" s="61"/>
      <x:c r="B217" s="61"/>
      <x:c r="C217" s="61"/>
      <x:c r="D217" s="61"/>
      <x:c r="E217" s="61"/>
      <x:c r="F217" s="61"/>
      <x:c r="G217" s="61"/>
      <x:c r="H217" s="61"/>
      <x:c r="I217" s="61"/>
      <x:c r="J217" s="61"/>
      <x:c r="K217" s="61"/>
      <x:c r="L217" s="61"/>
      <x:c r="M217" s="61"/>
      <x:c r="N217" s="61"/>
      <x:c r="O217" s="61"/>
      <x:c r="P217" s="61"/>
      <x:c r="Q217" s="61"/>
    </x:row>
    <x:row r="218">
      <x:c r="A218" s="61"/>
      <x:c r="B218" s="61"/>
      <x:c r="C218" s="61"/>
      <x:c r="D218" s="61"/>
      <x:c r="E218" s="61"/>
      <x:c r="F218" s="61"/>
      <x:c r="G218" s="61"/>
      <x:c r="H218" s="61"/>
      <x:c r="I218" s="61"/>
      <x:c r="J218" s="61"/>
      <x:c r="K218" s="61"/>
      <x:c r="L218" s="61"/>
      <x:c r="M218" s="61"/>
      <x:c r="N218" s="61"/>
      <x:c r="O218" s="61"/>
      <x:c r="P218" s="61"/>
      <x:c r="Q218" s="61"/>
    </x:row>
    <x:row r="219">
      <x:c r="A219" s="61"/>
      <x:c r="B219" s="61"/>
      <x:c r="C219" s="61"/>
      <x:c r="D219" s="61"/>
      <x:c r="E219" s="61"/>
      <x:c r="F219" s="61"/>
      <x:c r="G219" s="61"/>
      <x:c r="H219" s="61"/>
      <x:c r="I219" s="61"/>
      <x:c r="J219" s="61"/>
      <x:c r="K219" s="61"/>
      <x:c r="L219" s="61"/>
      <x:c r="M219" s="61"/>
      <x:c r="N219" s="61"/>
      <x:c r="O219" s="61"/>
      <x:c r="P219" s="61"/>
      <x:c r="Q219" s="61"/>
    </x:row>
    <x:row r="220">
      <x:c r="A220" s="61"/>
      <x:c r="B220" s="61"/>
      <x:c r="C220" s="61"/>
      <x:c r="D220" s="61"/>
      <x:c r="E220" s="61"/>
      <x:c r="F220" s="61"/>
      <x:c r="G220" s="61"/>
      <x:c r="H220" s="61"/>
      <x:c r="I220" s="61"/>
      <x:c r="J220" s="61"/>
      <x:c r="K220" s="61"/>
      <x:c r="L220" s="61"/>
      <x:c r="M220" s="61"/>
      <x:c r="N220" s="61"/>
      <x:c r="O220" s="61"/>
      <x:c r="P220" s="61"/>
      <x:c r="Q220" s="61"/>
    </x:row>
    <x:row r="221">
      <x:c r="A221" s="61"/>
      <x:c r="B221" s="61"/>
      <x:c r="C221" s="61"/>
      <x:c r="D221" s="61"/>
      <x:c r="E221" s="61"/>
      <x:c r="F221" s="61"/>
      <x:c r="G221" s="61"/>
      <x:c r="H221" s="61"/>
      <x:c r="I221" s="61"/>
      <x:c r="J221" s="61"/>
      <x:c r="K221" s="61"/>
      <x:c r="L221" s="61"/>
      <x:c r="M221" s="61"/>
      <x:c r="N221" s="61"/>
      <x:c r="O221" s="61"/>
      <x:c r="P221" s="61"/>
      <x:c r="Q221" s="61"/>
    </x:row>
    <x:row r="222">
      <x:c r="A222" s="61"/>
      <x:c r="B222" s="61"/>
      <x:c r="C222" s="61"/>
      <x:c r="D222" s="61"/>
      <x:c r="E222" s="61"/>
      <x:c r="F222" s="61"/>
      <x:c r="G222" s="61"/>
      <x:c r="H222" s="61"/>
      <x:c r="I222" s="61"/>
      <x:c r="J222" s="61"/>
      <x:c r="K222" s="61"/>
      <x:c r="L222" s="61"/>
      <x:c r="M222" s="61"/>
      <x:c r="N222" s="61"/>
      <x:c r="O222" s="61"/>
      <x:c r="P222" s="61"/>
      <x:c r="Q222" s="61"/>
    </x:row>
    <x:row r="223">
      <x:c r="A223" s="61"/>
      <x:c r="B223" s="61"/>
      <x:c r="C223" s="61"/>
      <x:c r="D223" s="61"/>
      <x:c r="E223" s="61"/>
      <x:c r="F223" s="61"/>
      <x:c r="G223" s="61"/>
      <x:c r="H223" s="61"/>
      <x:c r="I223" s="61"/>
      <x:c r="J223" s="61"/>
      <x:c r="K223" s="61"/>
      <x:c r="L223" s="61"/>
      <x:c r="M223" s="61"/>
      <x:c r="N223" s="61"/>
      <x:c r="O223" s="61"/>
      <x:c r="P223" s="61"/>
      <x:c r="Q223" s="61"/>
    </x:row>
    <x:row r="224">
      <x:c r="A224" s="61"/>
      <x:c r="B224" s="61"/>
      <x:c r="C224" s="61"/>
      <x:c r="D224" s="61"/>
      <x:c r="E224" s="61"/>
      <x:c r="F224" s="61"/>
      <x:c r="G224" s="61"/>
      <x:c r="H224" s="61"/>
      <x:c r="I224" s="61"/>
      <x:c r="J224" s="61"/>
      <x:c r="K224" s="61"/>
      <x:c r="L224" s="61"/>
      <x:c r="M224" s="61"/>
      <x:c r="N224" s="61"/>
      <x:c r="O224" s="61"/>
      <x:c r="P224" s="61"/>
      <x:c r="Q224" s="61"/>
    </x:row>
    <x:row r="225">
      <x:c r="A225" s="61"/>
      <x:c r="B225" s="61"/>
      <x:c r="C225" s="61"/>
      <x:c r="D225" s="61"/>
      <x:c r="E225" s="61"/>
      <x:c r="F225" s="61"/>
      <x:c r="G225" s="61"/>
      <x:c r="H225" s="61"/>
      <x:c r="I225" s="61"/>
      <x:c r="J225" s="61"/>
      <x:c r="K225" s="61"/>
      <x:c r="L225" s="61"/>
      <x:c r="M225" s="61"/>
      <x:c r="N225" s="61"/>
      <x:c r="O225" s="61"/>
      <x:c r="P225" s="61"/>
      <x:c r="Q225" s="61"/>
    </x:row>
    <x:row r="226">
      <x:c r="A226" s="61"/>
      <x:c r="B226" s="61"/>
      <x:c r="C226" s="61"/>
      <x:c r="D226" s="61"/>
      <x:c r="E226" s="61"/>
      <x:c r="F226" s="61"/>
      <x:c r="G226" s="61"/>
      <x:c r="H226" s="61"/>
      <x:c r="I226" s="61"/>
      <x:c r="J226" s="61"/>
      <x:c r="K226" s="61"/>
      <x:c r="L226" s="61"/>
      <x:c r="M226" s="61"/>
      <x:c r="N226" s="61"/>
      <x:c r="O226" s="61"/>
      <x:c r="P226" s="61"/>
      <x:c r="Q226" s="61"/>
    </x:row>
    <x:row r="227">
      <x:c r="A227" s="61"/>
      <x:c r="B227" s="61"/>
      <x:c r="C227" s="61"/>
      <x:c r="D227" s="61"/>
      <x:c r="E227" s="61"/>
      <x:c r="F227" s="61"/>
      <x:c r="G227" s="61"/>
      <x:c r="H227" s="61"/>
      <x:c r="I227" s="61"/>
      <x:c r="J227" s="61"/>
      <x:c r="K227" s="61"/>
      <x:c r="L227" s="61"/>
      <x:c r="M227" s="61"/>
      <x:c r="N227" s="61"/>
      <x:c r="O227" s="61"/>
      <x:c r="P227" s="61"/>
      <x:c r="Q227" s="61"/>
    </x:row>
    <x:row r="228">
      <x:c r="A228" s="61"/>
      <x:c r="B228" s="61"/>
      <x:c r="C228" s="61"/>
      <x:c r="D228" s="61"/>
      <x:c r="E228" s="61"/>
      <x:c r="F228" s="61"/>
      <x:c r="G228" s="61"/>
      <x:c r="H228" s="61"/>
      <x:c r="I228" s="61"/>
      <x:c r="J228" s="61"/>
      <x:c r="K228" s="61"/>
      <x:c r="L228" s="61"/>
      <x:c r="M228" s="61"/>
      <x:c r="N228" s="61"/>
      <x:c r="O228" s="61"/>
      <x:c r="P228" s="61"/>
      <x:c r="Q228" s="61"/>
    </x:row>
    <x:row r="229">
      <x:c r="A229" s="61"/>
      <x:c r="B229" s="61"/>
      <x:c r="C229" s="61"/>
      <x:c r="D229" s="61"/>
      <x:c r="E229" s="61"/>
      <x:c r="F229" s="61"/>
      <x:c r="G229" s="61"/>
      <x:c r="H229" s="61"/>
      <x:c r="I229" s="61"/>
      <x:c r="J229" s="61"/>
      <x:c r="K229" s="61"/>
      <x:c r="L229" s="61"/>
      <x:c r="M229" s="61"/>
      <x:c r="N229" s="61"/>
      <x:c r="O229" s="61"/>
      <x:c r="P229" s="61"/>
      <x:c r="Q229" s="61"/>
    </x:row>
    <x:row r="230">
      <x:c r="A230" s="61"/>
      <x:c r="B230" s="61"/>
      <x:c r="C230" s="61"/>
      <x:c r="D230" s="61"/>
      <x:c r="E230" s="61"/>
      <x:c r="F230" s="61"/>
      <x:c r="G230" s="61"/>
      <x:c r="H230" s="61"/>
      <x:c r="I230" s="61"/>
      <x:c r="J230" s="61"/>
      <x:c r="K230" s="61"/>
      <x:c r="L230" s="61"/>
      <x:c r="M230" s="61"/>
      <x:c r="N230" s="61"/>
      <x:c r="O230" s="61"/>
      <x:c r="P230" s="61"/>
      <x:c r="Q230" s="61"/>
    </x:row>
    <x:row r="231">
      <x:c r="A231" s="61"/>
      <x:c r="B231" s="61"/>
      <x:c r="C231" s="61"/>
      <x:c r="D231" s="61"/>
      <x:c r="E231" s="61"/>
      <x:c r="F231" s="61"/>
      <x:c r="G231" s="61"/>
      <x:c r="H231" s="61"/>
      <x:c r="I231" s="61"/>
      <x:c r="J231" s="61"/>
      <x:c r="K231" s="61"/>
      <x:c r="L231" s="61"/>
      <x:c r="M231" s="61"/>
      <x:c r="N231" s="61"/>
      <x:c r="O231" s="61"/>
      <x:c r="P231" s="61"/>
      <x:c r="Q231" s="61"/>
    </x:row>
    <x:row r="232">
      <x:c r="A232" s="61"/>
      <x:c r="B232" s="61"/>
      <x:c r="C232" s="61"/>
      <x:c r="D232" s="61"/>
      <x:c r="E232" s="61"/>
      <x:c r="F232" s="61"/>
      <x:c r="G232" s="61"/>
      <x:c r="H232" s="61"/>
      <x:c r="I232" s="61"/>
      <x:c r="J232" s="61"/>
      <x:c r="K232" s="61"/>
      <x:c r="L232" s="61"/>
      <x:c r="M232" s="61"/>
      <x:c r="N232" s="61"/>
      <x:c r="O232" s="61"/>
      <x:c r="P232" s="61"/>
      <x:c r="Q232" s="61"/>
    </x:row>
    <x:row r="233">
      <x:c r="A233" s="61"/>
      <x:c r="B233" s="61"/>
      <x:c r="C233" s="61"/>
      <x:c r="D233" s="61"/>
      <x:c r="E233" s="61"/>
      <x:c r="F233" s="61"/>
      <x:c r="G233" s="61"/>
      <x:c r="H233" s="61"/>
      <x:c r="I233" s="61"/>
      <x:c r="J233" s="61"/>
      <x:c r="K233" s="61"/>
      <x:c r="L233" s="61"/>
      <x:c r="M233" s="61"/>
      <x:c r="N233" s="61"/>
      <x:c r="O233" s="61"/>
      <x:c r="P233" s="61"/>
      <x:c r="Q233" s="61"/>
    </x:row>
    <x:row r="234">
      <x:c r="A234" s="61"/>
      <x:c r="B234" s="61"/>
      <x:c r="C234" s="61"/>
      <x:c r="D234" s="61"/>
      <x:c r="E234" s="61"/>
      <x:c r="F234" s="61"/>
      <x:c r="G234" s="61"/>
      <x:c r="H234" s="61"/>
      <x:c r="I234" s="61"/>
      <x:c r="J234" s="61"/>
      <x:c r="K234" s="61"/>
      <x:c r="L234" s="61"/>
      <x:c r="M234" s="61"/>
      <x:c r="N234" s="61"/>
      <x:c r="O234" s="61"/>
      <x:c r="P234" s="61"/>
      <x:c r="Q234" s="61"/>
    </x:row>
    <x:row r="235">
      <x:c r="A235" s="61"/>
      <x:c r="B235" s="61"/>
      <x:c r="C235" s="61"/>
      <x:c r="D235" s="61"/>
      <x:c r="E235" s="61"/>
      <x:c r="F235" s="61"/>
      <x:c r="G235" s="61"/>
      <x:c r="H235" s="61"/>
      <x:c r="I235" s="61"/>
      <x:c r="J235" s="61"/>
      <x:c r="K235" s="61"/>
      <x:c r="L235" s="61"/>
      <x:c r="M235" s="61"/>
      <x:c r="N235" s="61"/>
      <x:c r="O235" s="61"/>
      <x:c r="P235" s="61"/>
      <x:c r="Q235" s="61"/>
    </x:row>
    <x:row r="236">
      <x:c r="A236" s="61"/>
      <x:c r="B236" s="61"/>
      <x:c r="C236" s="61"/>
      <x:c r="D236" s="61"/>
      <x:c r="E236" s="61"/>
      <x:c r="F236" s="61"/>
      <x:c r="G236" s="61"/>
      <x:c r="H236" s="61"/>
      <x:c r="I236" s="61"/>
      <x:c r="J236" s="61"/>
      <x:c r="K236" s="61"/>
      <x:c r="L236" s="61"/>
      <x:c r="M236" s="61"/>
      <x:c r="N236" s="61"/>
      <x:c r="O236" s="61"/>
      <x:c r="P236" s="61"/>
      <x:c r="Q236" s="61"/>
    </x:row>
    <x:row r="237">
      <x:c r="A237" s="61"/>
      <x:c r="B237" s="61"/>
      <x:c r="C237" s="61"/>
      <x:c r="D237" s="61"/>
      <x:c r="E237" s="61"/>
      <x:c r="F237" s="61"/>
      <x:c r="G237" s="61"/>
      <x:c r="H237" s="61"/>
      <x:c r="I237" s="61"/>
      <x:c r="J237" s="61"/>
      <x:c r="K237" s="61"/>
      <x:c r="L237" s="61"/>
      <x:c r="M237" s="61"/>
      <x:c r="N237" s="61"/>
      <x:c r="O237" s="61"/>
      <x:c r="P237" s="61"/>
      <x:c r="Q237" s="61"/>
    </x:row>
    <x:row r="238">
      <x:c r="A238" s="61"/>
      <x:c r="B238" s="61"/>
      <x:c r="C238" s="61"/>
      <x:c r="D238" s="61"/>
      <x:c r="E238" s="61"/>
      <x:c r="F238" s="61"/>
      <x:c r="G238" s="61"/>
      <x:c r="H238" s="61"/>
      <x:c r="I238" s="61"/>
      <x:c r="J238" s="61"/>
      <x:c r="K238" s="61"/>
      <x:c r="L238" s="61"/>
      <x:c r="M238" s="61"/>
      <x:c r="N238" s="61"/>
      <x:c r="O238" s="61"/>
      <x:c r="P238" s="61"/>
      <x:c r="Q238" s="61"/>
    </x:row>
    <x:row r="239">
      <x:c r="A239" s="61"/>
      <x:c r="B239" s="61"/>
      <x:c r="C239" s="61"/>
      <x:c r="D239" s="61"/>
      <x:c r="E239" s="61"/>
      <x:c r="F239" s="61"/>
      <x:c r="G239" s="61"/>
      <x:c r="H239" s="61"/>
      <x:c r="I239" s="61"/>
      <x:c r="J239" s="61"/>
      <x:c r="K239" s="61"/>
      <x:c r="L239" s="61"/>
      <x:c r="M239" s="61"/>
      <x:c r="N239" s="61"/>
      <x:c r="O239" s="61"/>
      <x:c r="P239" s="61"/>
      <x:c r="Q239" s="61"/>
    </x:row>
    <x:row r="240">
      <x:c r="A240" s="61"/>
      <x:c r="B240" s="61"/>
      <x:c r="C240" s="61"/>
      <x:c r="D240" s="61"/>
      <x:c r="E240" s="61"/>
      <x:c r="F240" s="61"/>
      <x:c r="G240" s="61"/>
      <x:c r="H240" s="61"/>
      <x:c r="I240" s="61"/>
      <x:c r="J240" s="61"/>
      <x:c r="K240" s="61"/>
      <x:c r="L240" s="61"/>
      <x:c r="M240" s="61"/>
      <x:c r="N240" s="61"/>
      <x:c r="O240" s="61"/>
      <x:c r="P240" s="61"/>
      <x:c r="Q240" s="61"/>
    </x:row>
    <x:row r="241">
      <x:c r="A241" s="61"/>
      <x:c r="B241" s="61"/>
      <x:c r="C241" s="61"/>
      <x:c r="D241" s="61"/>
      <x:c r="E241" s="61"/>
      <x:c r="F241" s="61"/>
      <x:c r="G241" s="61"/>
      <x:c r="H241" s="61"/>
      <x:c r="I241" s="61"/>
      <x:c r="J241" s="61"/>
      <x:c r="K241" s="61"/>
      <x:c r="L241" s="61"/>
      <x:c r="M241" s="61"/>
      <x:c r="N241" s="61"/>
      <x:c r="O241" s="61"/>
      <x:c r="P241" s="61"/>
      <x:c r="Q241" s="61"/>
    </x:row>
    <x:row r="242">
      <x:c r="A242" s="61"/>
      <x:c r="B242" s="61"/>
      <x:c r="C242" s="61"/>
      <x:c r="D242" s="61"/>
      <x:c r="E242" s="61"/>
      <x:c r="F242" s="61"/>
      <x:c r="G242" s="61"/>
      <x:c r="H242" s="61"/>
      <x:c r="I242" s="61"/>
      <x:c r="J242" s="61"/>
      <x:c r="K242" s="61"/>
      <x:c r="L242" s="61"/>
      <x:c r="M242" s="61"/>
      <x:c r="N242" s="61"/>
      <x:c r="O242" s="61"/>
      <x:c r="P242" s="61"/>
      <x:c r="Q242" s="61"/>
    </x:row>
    <x:row r="243">
      <x:c r="A243" s="61"/>
      <x:c r="B243" s="61"/>
      <x:c r="C243" s="61"/>
      <x:c r="D243" s="61"/>
      <x:c r="E243" s="61"/>
      <x:c r="F243" s="61"/>
      <x:c r="G243" s="61"/>
      <x:c r="H243" s="61"/>
      <x:c r="I243" s="61"/>
      <x:c r="J243" s="61"/>
      <x:c r="K243" s="61"/>
      <x:c r="L243" s="61"/>
      <x:c r="M243" s="61"/>
      <x:c r="N243" s="61"/>
      <x:c r="O243" s="61"/>
      <x:c r="P243" s="61"/>
      <x:c r="Q243" s="61"/>
    </x:row>
    <x:row r="244">
      <x:c r="A244" s="61"/>
      <x:c r="B244" s="61"/>
      <x:c r="C244" s="61"/>
      <x:c r="D244" s="61"/>
      <x:c r="E244" s="61"/>
      <x:c r="F244" s="61"/>
      <x:c r="G244" s="61"/>
      <x:c r="H244" s="61"/>
      <x:c r="I244" s="61"/>
      <x:c r="J244" s="61"/>
      <x:c r="K244" s="61"/>
      <x:c r="L244" s="61"/>
      <x:c r="M244" s="61"/>
      <x:c r="N244" s="61"/>
      <x:c r="O244" s="61"/>
      <x:c r="P244" s="61"/>
      <x:c r="Q244" s="61"/>
    </x:row>
    <x:row r="245">
      <x:c r="A245" s="61"/>
      <x:c r="B245" s="61"/>
      <x:c r="C245" s="61"/>
      <x:c r="D245" s="61"/>
      <x:c r="E245" s="61"/>
      <x:c r="F245" s="61"/>
      <x:c r="G245" s="61"/>
      <x:c r="H245" s="61"/>
      <x:c r="I245" s="61"/>
      <x:c r="J245" s="61"/>
      <x:c r="K245" s="61"/>
      <x:c r="L245" s="61"/>
      <x:c r="M245" s="61"/>
      <x:c r="N245" s="61"/>
      <x:c r="O245" s="61"/>
      <x:c r="P245" s="61"/>
      <x:c r="Q245" s="61"/>
    </x:row>
    <x:row r="246">
      <x:c r="A246" s="61"/>
      <x:c r="B246" s="61"/>
      <x:c r="C246" s="61"/>
      <x:c r="D246" s="61"/>
      <x:c r="E246" s="61"/>
      <x:c r="F246" s="61"/>
      <x:c r="G246" s="61"/>
      <x:c r="H246" s="61"/>
      <x:c r="I246" s="61"/>
      <x:c r="J246" s="61"/>
      <x:c r="K246" s="61"/>
      <x:c r="L246" s="61"/>
      <x:c r="M246" s="61"/>
      <x:c r="N246" s="61"/>
      <x:c r="O246" s="61"/>
      <x:c r="P246" s="61"/>
      <x:c r="Q246" s="61"/>
    </x:row>
    <x:row r="247">
      <x:c r="A247" s="61"/>
      <x:c r="B247" s="61"/>
      <x:c r="C247" s="61"/>
      <x:c r="D247" s="61"/>
      <x:c r="E247" s="61"/>
      <x:c r="F247" s="61"/>
      <x:c r="G247" s="61"/>
      <x:c r="H247" s="61"/>
      <x:c r="I247" s="61"/>
      <x:c r="J247" s="61"/>
      <x:c r="K247" s="61"/>
      <x:c r="L247" s="61"/>
      <x:c r="M247" s="61"/>
      <x:c r="N247" s="61"/>
      <x:c r="O247" s="61"/>
      <x:c r="P247" s="61"/>
      <x:c r="Q247" s="61"/>
    </x:row>
    <x:row r="248">
      <x:c r="A248" s="61"/>
      <x:c r="B248" s="61"/>
      <x:c r="C248" s="61"/>
      <x:c r="D248" s="61"/>
      <x:c r="E248" s="61"/>
      <x:c r="F248" s="61"/>
      <x:c r="G248" s="61"/>
      <x:c r="H248" s="61"/>
      <x:c r="I248" s="61"/>
      <x:c r="J248" s="61"/>
      <x:c r="K248" s="61"/>
      <x:c r="L248" s="61"/>
      <x:c r="M248" s="61"/>
      <x:c r="N248" s="61"/>
      <x:c r="O248" s="61"/>
      <x:c r="P248" s="61"/>
      <x:c r="Q248" s="61"/>
    </x:row>
    <x:row r="249">
      <x:c r="A249" s="61"/>
      <x:c r="B249" s="61"/>
      <x:c r="C249" s="61"/>
      <x:c r="D249" s="61"/>
      <x:c r="E249" s="61"/>
      <x:c r="F249" s="61"/>
      <x:c r="G249" s="61"/>
      <x:c r="H249" s="61"/>
      <x:c r="I249" s="61"/>
      <x:c r="J249" s="61"/>
      <x:c r="K249" s="61"/>
      <x:c r="L249" s="61"/>
      <x:c r="M249" s="61"/>
      <x:c r="N249" s="61"/>
      <x:c r="O249" s="61"/>
      <x:c r="P249" s="61"/>
      <x:c r="Q249" s="61"/>
    </x:row>
    <x:row r="250">
      <x:c r="A250" s="61"/>
      <x:c r="B250" s="61"/>
      <x:c r="C250" s="61"/>
      <x:c r="D250" s="61"/>
      <x:c r="E250" s="61"/>
      <x:c r="F250" s="61"/>
      <x:c r="G250" s="61"/>
      <x:c r="H250" s="61"/>
      <x:c r="I250" s="61"/>
      <x:c r="J250" s="61"/>
      <x:c r="K250" s="61"/>
      <x:c r="L250" s="61"/>
      <x:c r="M250" s="61"/>
      <x:c r="N250" s="61"/>
      <x:c r="O250" s="61"/>
      <x:c r="P250" s="61"/>
      <x:c r="Q250" s="61"/>
    </x:row>
    <x:row r="251">
      <x:c r="A251" s="61"/>
      <x:c r="B251" s="61"/>
      <x:c r="C251" s="61"/>
      <x:c r="D251" s="61"/>
      <x:c r="E251" s="61"/>
      <x:c r="F251" s="61"/>
      <x:c r="G251" s="61"/>
      <x:c r="H251" s="61"/>
      <x:c r="I251" s="61"/>
      <x:c r="J251" s="61"/>
      <x:c r="K251" s="61"/>
      <x:c r="L251" s="61"/>
      <x:c r="M251" s="61"/>
      <x:c r="N251" s="61"/>
      <x:c r="O251" s="61"/>
      <x:c r="P251" s="61"/>
      <x:c r="Q251" s="61"/>
    </x:row>
    <x:row r="252">
      <x:c r="A252" s="61"/>
      <x:c r="B252" s="61"/>
      <x:c r="C252" s="61"/>
      <x:c r="D252" s="61"/>
      <x:c r="E252" s="61"/>
      <x:c r="F252" s="61"/>
      <x:c r="G252" s="61"/>
      <x:c r="H252" s="61"/>
      <x:c r="I252" s="61"/>
      <x:c r="J252" s="61"/>
      <x:c r="K252" s="61"/>
      <x:c r="L252" s="61"/>
      <x:c r="M252" s="61"/>
      <x:c r="N252" s="61"/>
      <x:c r="O252" s="61"/>
      <x:c r="P252" s="61"/>
      <x:c r="Q252" s="61"/>
    </x:row>
    <x:row r="253">
      <x:c r="A253" s="61"/>
      <x:c r="B253" s="61"/>
      <x:c r="C253" s="61"/>
      <x:c r="D253" s="61"/>
      <x:c r="E253" s="61"/>
      <x:c r="F253" s="61"/>
      <x:c r="G253" s="61"/>
      <x:c r="H253" s="61"/>
      <x:c r="I253" s="61"/>
      <x:c r="J253" s="61"/>
      <x:c r="K253" s="61"/>
      <x:c r="L253" s="61"/>
      <x:c r="M253" s="61"/>
      <x:c r="N253" s="61"/>
      <x:c r="O253" s="61"/>
      <x:c r="P253" s="61"/>
      <x:c r="Q253" s="61"/>
    </x:row>
    <x:row r="254">
      <x:c r="A254" s="61"/>
      <x:c r="B254" s="61"/>
      <x:c r="C254" s="61"/>
      <x:c r="D254" s="61"/>
      <x:c r="E254" s="61"/>
      <x:c r="F254" s="61"/>
      <x:c r="G254" s="61"/>
      <x:c r="H254" s="61"/>
      <x:c r="I254" s="61"/>
      <x:c r="J254" s="61"/>
      <x:c r="K254" s="61"/>
      <x:c r="L254" s="61"/>
      <x:c r="M254" s="61"/>
      <x:c r="N254" s="61"/>
      <x:c r="O254" s="61"/>
      <x:c r="P254" s="61"/>
      <x:c r="Q254" s="61"/>
    </x:row>
    <x:row r="255">
      <x:c r="A255" s="61"/>
      <x:c r="B255" s="61"/>
      <x:c r="C255" s="61"/>
      <x:c r="D255" s="61"/>
      <x:c r="E255" s="61"/>
      <x:c r="F255" s="61"/>
      <x:c r="G255" s="61"/>
      <x:c r="H255" s="61"/>
      <x:c r="I255" s="61"/>
      <x:c r="J255" s="61"/>
      <x:c r="K255" s="61"/>
      <x:c r="L255" s="61"/>
      <x:c r="M255" s="61"/>
      <x:c r="N255" s="61"/>
      <x:c r="O255" s="61"/>
      <x:c r="P255" s="61"/>
      <x:c r="Q255" s="61"/>
    </x:row>
    <x:row r="256">
      <x:c r="A256" s="61"/>
      <x:c r="B256" s="61"/>
      <x:c r="C256" s="61"/>
      <x:c r="D256" s="61"/>
      <x:c r="E256" s="61"/>
      <x:c r="F256" s="61"/>
      <x:c r="G256" s="61"/>
      <x:c r="H256" s="61"/>
      <x:c r="I256" s="61"/>
      <x:c r="J256" s="61"/>
      <x:c r="K256" s="61"/>
      <x:c r="L256" s="61"/>
      <x:c r="M256" s="61"/>
      <x:c r="N256" s="61"/>
      <x:c r="O256" s="61"/>
      <x:c r="P256" s="61"/>
      <x:c r="Q256" s="61"/>
    </x:row>
    <x:row r="257">
      <x:c r="A257" s="61"/>
      <x:c r="B257" s="61"/>
      <x:c r="C257" s="61"/>
      <x:c r="D257" s="61"/>
      <x:c r="E257" s="61"/>
      <x:c r="F257" s="61"/>
      <x:c r="G257" s="61"/>
      <x:c r="H257" s="61"/>
      <x:c r="I257" s="61"/>
      <x:c r="J257" s="61"/>
      <x:c r="K257" s="61"/>
      <x:c r="L257" s="61"/>
      <x:c r="M257" s="61"/>
      <x:c r="N257" s="61"/>
      <x:c r="O257" s="61"/>
      <x:c r="P257" s="61"/>
      <x:c r="Q257" s="61"/>
    </x:row>
    <x:row r="258">
      <x:c r="A258" s="61"/>
      <x:c r="B258" s="61"/>
      <x:c r="C258" s="61"/>
      <x:c r="D258" s="61"/>
      <x:c r="E258" s="61"/>
      <x:c r="F258" s="61"/>
      <x:c r="G258" s="61"/>
      <x:c r="H258" s="61"/>
      <x:c r="I258" s="61"/>
      <x:c r="J258" s="61"/>
      <x:c r="K258" s="61"/>
      <x:c r="L258" s="61"/>
      <x:c r="M258" s="61"/>
      <x:c r="N258" s="61"/>
      <x:c r="O258" s="61"/>
      <x:c r="P258" s="61"/>
      <x:c r="Q258" s="61"/>
    </x:row>
    <x:row r="259">
      <x:c r="A259" s="61"/>
      <x:c r="B259" s="61"/>
      <x:c r="C259" s="61"/>
      <x:c r="D259" s="61"/>
      <x:c r="E259" s="61"/>
      <x:c r="F259" s="61"/>
      <x:c r="G259" s="61"/>
      <x:c r="H259" s="61"/>
      <x:c r="I259" s="61"/>
      <x:c r="J259" s="61"/>
      <x:c r="K259" s="61"/>
      <x:c r="L259" s="61"/>
      <x:c r="M259" s="61"/>
      <x:c r="N259" s="61"/>
      <x:c r="O259" s="61"/>
      <x:c r="P259" s="61"/>
      <x:c r="Q259" s="61"/>
    </x:row>
    <x:row r="260">
      <x:c r="A260" s="61"/>
      <x:c r="B260" s="61"/>
      <x:c r="C260" s="61"/>
      <x:c r="D260" s="61"/>
      <x:c r="E260" s="61"/>
      <x:c r="F260" s="61"/>
      <x:c r="G260" s="61"/>
      <x:c r="H260" s="61"/>
      <x:c r="I260" s="61"/>
      <x:c r="J260" s="61"/>
      <x:c r="K260" s="61"/>
      <x:c r="L260" s="61"/>
      <x:c r="M260" s="61"/>
      <x:c r="N260" s="61"/>
      <x:c r="O260" s="61"/>
      <x:c r="P260" s="61"/>
      <x:c r="Q260" s="61"/>
    </x:row>
    <x:row r="261">
      <x:c r="A261" s="61"/>
      <x:c r="B261" s="61"/>
      <x:c r="C261" s="61"/>
      <x:c r="D261" s="61"/>
      <x:c r="E261" s="61"/>
      <x:c r="F261" s="61"/>
      <x:c r="G261" s="61"/>
      <x:c r="H261" s="61"/>
      <x:c r="I261" s="61"/>
      <x:c r="J261" s="61"/>
      <x:c r="K261" s="61"/>
      <x:c r="L261" s="61"/>
      <x:c r="M261" s="61"/>
      <x:c r="N261" s="61"/>
      <x:c r="O261" s="61"/>
      <x:c r="P261" s="61"/>
      <x:c r="Q261" s="61"/>
    </x:row>
    <x:row r="262">
      <x:c r="A262" s="61"/>
      <x:c r="B262" s="61"/>
      <x:c r="C262" s="61"/>
      <x:c r="D262" s="61"/>
      <x:c r="E262" s="61"/>
      <x:c r="F262" s="61"/>
      <x:c r="G262" s="61"/>
      <x:c r="H262" s="61"/>
      <x:c r="I262" s="61"/>
      <x:c r="J262" s="61"/>
      <x:c r="K262" s="61"/>
      <x:c r="L262" s="61"/>
      <x:c r="M262" s="61"/>
      <x:c r="N262" s="61"/>
      <x:c r="O262" s="61"/>
      <x:c r="P262" s="61"/>
      <x:c r="Q262" s="61"/>
    </x:row>
    <x:row r="263">
      <x:c r="A263" s="61"/>
      <x:c r="B263" s="61"/>
      <x:c r="C263" s="61"/>
      <x:c r="D263" s="61"/>
      <x:c r="E263" s="61"/>
      <x:c r="F263" s="61"/>
      <x:c r="G263" s="61"/>
      <x:c r="H263" s="61"/>
      <x:c r="I263" s="61"/>
      <x:c r="J263" s="61"/>
      <x:c r="K263" s="61"/>
      <x:c r="L263" s="61"/>
      <x:c r="M263" s="61"/>
      <x:c r="N263" s="61"/>
      <x:c r="O263" s="61"/>
      <x:c r="P263" s="61"/>
      <x:c r="Q263" s="61"/>
    </x:row>
    <x:row r="264">
      <x:c r="A264" s="61"/>
      <x:c r="B264" s="61"/>
      <x:c r="C264" s="61"/>
      <x:c r="D264" s="61"/>
      <x:c r="E264" s="61"/>
      <x:c r="F264" s="61"/>
      <x:c r="G264" s="61"/>
      <x:c r="H264" s="61"/>
      <x:c r="I264" s="61"/>
      <x:c r="J264" s="61"/>
      <x:c r="K264" s="61"/>
      <x:c r="L264" s="61"/>
      <x:c r="M264" s="61"/>
      <x:c r="N264" s="61"/>
      <x:c r="O264" s="61"/>
      <x:c r="P264" s="61"/>
      <x:c r="Q264" s="61"/>
    </x:row>
    <x:row r="265">
      <x:c r="A265" s="61"/>
      <x:c r="B265" s="61"/>
      <x:c r="C265" s="61"/>
      <x:c r="D265" s="61"/>
      <x:c r="E265" s="61"/>
      <x:c r="F265" s="61"/>
      <x:c r="G265" s="61"/>
      <x:c r="H265" s="61"/>
      <x:c r="I265" s="61"/>
      <x:c r="J265" s="61"/>
      <x:c r="K265" s="61"/>
      <x:c r="L265" s="61"/>
      <x:c r="M265" s="61"/>
      <x:c r="N265" s="61"/>
      <x:c r="O265" s="61"/>
      <x:c r="P265" s="61"/>
      <x:c r="Q265" s="61"/>
    </x:row>
    <x:row r="266">
      <x:c r="A266" s="61"/>
      <x:c r="B266" s="61"/>
      <x:c r="C266" s="61"/>
      <x:c r="D266" s="61"/>
      <x:c r="E266" s="61"/>
      <x:c r="F266" s="61"/>
      <x:c r="G266" s="61"/>
      <x:c r="H266" s="61"/>
      <x:c r="I266" s="61"/>
      <x:c r="J266" s="61"/>
      <x:c r="K266" s="61"/>
      <x:c r="L266" s="61"/>
      <x:c r="M266" s="61"/>
      <x:c r="N266" s="61"/>
      <x:c r="O266" s="61"/>
      <x:c r="P266" s="61"/>
      <x:c r="Q266" s="61"/>
    </x:row>
    <x:row r="267">
      <x:c r="A267" s="61"/>
      <x:c r="B267" s="61"/>
      <x:c r="C267" s="61"/>
      <x:c r="D267" s="61"/>
      <x:c r="E267" s="61"/>
      <x:c r="F267" s="61"/>
      <x:c r="G267" s="61"/>
      <x:c r="H267" s="61"/>
      <x:c r="I267" s="61"/>
      <x:c r="J267" s="61"/>
      <x:c r="K267" s="61"/>
      <x:c r="L267" s="61"/>
      <x:c r="M267" s="61"/>
      <x:c r="N267" s="61"/>
      <x:c r="O267" s="61"/>
      <x:c r="P267" s="61"/>
      <x:c r="Q267" s="61"/>
    </x:row>
    <x:row r="268">
      <x:c r="A268" s="61"/>
      <x:c r="B268" s="61"/>
      <x:c r="C268" s="61"/>
      <x:c r="D268" s="61"/>
      <x:c r="E268" s="61"/>
      <x:c r="F268" s="61"/>
      <x:c r="G268" s="61"/>
      <x:c r="H268" s="61"/>
      <x:c r="I268" s="61"/>
      <x:c r="J268" s="61"/>
      <x:c r="K268" s="61"/>
      <x:c r="L268" s="61"/>
      <x:c r="M268" s="61"/>
      <x:c r="N268" s="61"/>
      <x:c r="O268" s="61"/>
      <x:c r="P268" s="61"/>
      <x:c r="Q268" s="61"/>
    </x:row>
    <x:row r="269">
      <x:c r="A269" s="61"/>
      <x:c r="B269" s="61"/>
      <x:c r="C269" s="61"/>
      <x:c r="D269" s="61"/>
      <x:c r="E269" s="61"/>
      <x:c r="F269" s="61"/>
      <x:c r="G269" s="61"/>
      <x:c r="H269" s="61"/>
      <x:c r="I269" s="61"/>
      <x:c r="J269" s="61"/>
      <x:c r="K269" s="61"/>
      <x:c r="L269" s="61"/>
      <x:c r="M269" s="61"/>
      <x:c r="N269" s="61"/>
      <x:c r="O269" s="61"/>
      <x:c r="P269" s="61"/>
      <x:c r="Q269" s="61"/>
    </x:row>
    <x:row r="270">
      <x:c r="A270" s="61"/>
      <x:c r="B270" s="61"/>
      <x:c r="C270" s="61"/>
      <x:c r="D270" s="61"/>
      <x:c r="E270" s="61"/>
      <x:c r="F270" s="61"/>
      <x:c r="G270" s="61"/>
      <x:c r="H270" s="61"/>
      <x:c r="I270" s="61"/>
      <x:c r="J270" s="61"/>
      <x:c r="K270" s="61"/>
      <x:c r="L270" s="61"/>
      <x:c r="M270" s="61"/>
      <x:c r="N270" s="61"/>
      <x:c r="O270" s="61"/>
      <x:c r="P270" s="61"/>
      <x:c r="Q270" s="61"/>
    </x:row>
    <x:row r="271">
      <x:c r="A271" s="61"/>
      <x:c r="B271" s="61"/>
      <x:c r="C271" s="61"/>
      <x:c r="D271" s="61"/>
      <x:c r="E271" s="61"/>
      <x:c r="F271" s="61"/>
      <x:c r="G271" s="61"/>
      <x:c r="H271" s="61"/>
      <x:c r="I271" s="61"/>
      <x:c r="J271" s="61"/>
      <x:c r="K271" s="61"/>
      <x:c r="L271" s="61"/>
      <x:c r="M271" s="61"/>
      <x:c r="N271" s="61"/>
      <x:c r="O271" s="61"/>
      <x:c r="P271" s="61"/>
      <x:c r="Q271" s="61"/>
    </x:row>
    <x:row r="272">
      <x:c r="A272" s="61"/>
      <x:c r="B272" s="61"/>
      <x:c r="C272" s="61"/>
      <x:c r="D272" s="61"/>
      <x:c r="E272" s="61"/>
      <x:c r="F272" s="61"/>
      <x:c r="G272" s="61"/>
      <x:c r="H272" s="61"/>
      <x:c r="I272" s="61"/>
      <x:c r="J272" s="61"/>
      <x:c r="K272" s="61"/>
      <x:c r="L272" s="61"/>
      <x:c r="M272" s="61"/>
      <x:c r="N272" s="61"/>
      <x:c r="O272" s="61"/>
      <x:c r="P272" s="61"/>
      <x:c r="Q272" s="61"/>
    </x:row>
    <x:row r="273">
      <x:c r="A273" s="61"/>
      <x:c r="B273" s="61"/>
      <x:c r="C273" s="61"/>
      <x:c r="D273" s="61"/>
      <x:c r="E273" s="61"/>
      <x:c r="F273" s="61"/>
      <x:c r="G273" s="61"/>
      <x:c r="H273" s="61"/>
      <x:c r="I273" s="61"/>
      <x:c r="J273" s="61"/>
      <x:c r="K273" s="61"/>
      <x:c r="L273" s="61"/>
      <x:c r="M273" s="61"/>
      <x:c r="N273" s="61"/>
      <x:c r="O273" s="61"/>
      <x:c r="P273" s="61"/>
      <x:c r="Q273" s="61"/>
    </x:row>
    <x:row r="274">
      <x:c r="A274" s="61"/>
      <x:c r="B274" s="61"/>
      <x:c r="C274" s="61"/>
      <x:c r="D274" s="61"/>
      <x:c r="E274" s="61"/>
      <x:c r="F274" s="61"/>
      <x:c r="G274" s="61"/>
      <x:c r="H274" s="61"/>
      <x:c r="I274" s="61"/>
      <x:c r="J274" s="61"/>
      <x:c r="K274" s="61"/>
      <x:c r="L274" s="61"/>
      <x:c r="M274" s="61"/>
      <x:c r="N274" s="61"/>
      <x:c r="O274" s="61"/>
      <x:c r="P274" s="61"/>
      <x:c r="Q274" s="61"/>
    </x:row>
    <x:row r="275">
      <x:c r="A275" s="61"/>
      <x:c r="B275" s="61"/>
      <x:c r="C275" s="61"/>
      <x:c r="D275" s="61"/>
      <x:c r="E275" s="61"/>
      <x:c r="F275" s="61"/>
      <x:c r="G275" s="61"/>
      <x:c r="H275" s="61"/>
      <x:c r="I275" s="61"/>
      <x:c r="J275" s="61"/>
      <x:c r="K275" s="61"/>
      <x:c r="L275" s="61"/>
      <x:c r="M275" s="61"/>
      <x:c r="N275" s="61"/>
      <x:c r="O275" s="61"/>
      <x:c r="P275" s="61"/>
      <x:c r="Q275" s="61"/>
    </x:row>
    <x:row r="276">
      <x:c r="A276" s="61"/>
      <x:c r="B276" s="61"/>
      <x:c r="C276" s="61"/>
      <x:c r="D276" s="61"/>
      <x:c r="E276" s="61"/>
      <x:c r="F276" s="61"/>
      <x:c r="G276" s="61"/>
      <x:c r="H276" s="61"/>
      <x:c r="I276" s="61"/>
      <x:c r="J276" s="61"/>
      <x:c r="K276" s="61"/>
      <x:c r="L276" s="61"/>
      <x:c r="M276" s="61"/>
      <x:c r="N276" s="61"/>
      <x:c r="O276" s="61"/>
      <x:c r="P276" s="61"/>
      <x:c r="Q276" s="61"/>
    </x:row>
    <x:row r="277">
      <x:c r="A277" s="61"/>
      <x:c r="B277" s="61"/>
      <x:c r="C277" s="61"/>
      <x:c r="D277" s="61"/>
      <x:c r="E277" s="61"/>
      <x:c r="F277" s="61"/>
      <x:c r="G277" s="61"/>
      <x:c r="H277" s="61"/>
      <x:c r="I277" s="61"/>
      <x:c r="J277" s="61"/>
      <x:c r="K277" s="61"/>
      <x:c r="L277" s="61"/>
      <x:c r="M277" s="61"/>
      <x:c r="N277" s="61"/>
      <x:c r="O277" s="61"/>
      <x:c r="P277" s="61"/>
      <x:c r="Q277" s="61"/>
    </x:row>
    <x:row r="278">
      <x:c r="A278" s="61"/>
      <x:c r="B278" s="61"/>
      <x:c r="C278" s="61"/>
      <x:c r="D278" s="61"/>
      <x:c r="E278" s="61"/>
      <x:c r="F278" s="61"/>
      <x:c r="G278" s="61"/>
      <x:c r="H278" s="61"/>
      <x:c r="I278" s="61"/>
      <x:c r="J278" s="61"/>
      <x:c r="K278" s="61"/>
      <x:c r="L278" s="61"/>
      <x:c r="M278" s="61"/>
      <x:c r="N278" s="61"/>
      <x:c r="O278" s="61"/>
      <x:c r="P278" s="61"/>
      <x:c r="Q278" s="61"/>
    </x:row>
    <x:row r="279">
      <x:c r="A279" s="61"/>
      <x:c r="B279" s="61"/>
      <x:c r="C279" s="61"/>
      <x:c r="D279" s="61"/>
      <x:c r="E279" s="61"/>
      <x:c r="F279" s="61"/>
      <x:c r="G279" s="61"/>
      <x:c r="H279" s="61"/>
      <x:c r="I279" s="61"/>
      <x:c r="J279" s="61"/>
      <x:c r="K279" s="61"/>
      <x:c r="L279" s="61"/>
      <x:c r="M279" s="61"/>
      <x:c r="N279" s="61"/>
      <x:c r="O279" s="61"/>
      <x:c r="P279" s="61"/>
      <x:c r="Q279" s="61"/>
    </x:row>
    <x:row r="280">
      <x:c r="A280" s="61"/>
      <x:c r="B280" s="61"/>
      <x:c r="C280" s="61"/>
      <x:c r="D280" s="61"/>
      <x:c r="E280" s="61"/>
      <x:c r="F280" s="61"/>
      <x:c r="G280" s="61"/>
      <x:c r="H280" s="61"/>
      <x:c r="I280" s="61"/>
      <x:c r="J280" s="61"/>
      <x:c r="K280" s="61"/>
      <x:c r="L280" s="61"/>
      <x:c r="M280" s="61"/>
      <x:c r="N280" s="61"/>
      <x:c r="O280" s="61"/>
      <x:c r="P280" s="61"/>
      <x:c r="Q280" s="61"/>
    </x:row>
    <x:row r="281">
      <x:c r="A281" s="61"/>
      <x:c r="B281" s="61"/>
      <x:c r="C281" s="61"/>
      <x:c r="D281" s="61"/>
      <x:c r="E281" s="61"/>
      <x:c r="F281" s="61"/>
      <x:c r="G281" s="61"/>
      <x:c r="H281" s="61"/>
      <x:c r="I281" s="61"/>
      <x:c r="J281" s="61"/>
      <x:c r="K281" s="61"/>
      <x:c r="L281" s="61"/>
      <x:c r="M281" s="61"/>
      <x:c r="N281" s="61"/>
      <x:c r="O281" s="61"/>
      <x:c r="P281" s="61"/>
      <x:c r="Q281" s="61"/>
    </x:row>
    <x:row r="282">
      <x:c r="A282" s="61"/>
      <x:c r="B282" s="61"/>
      <x:c r="C282" s="61"/>
      <x:c r="D282" s="61"/>
      <x:c r="E282" s="61"/>
      <x:c r="F282" s="61"/>
      <x:c r="G282" s="61"/>
      <x:c r="H282" s="61"/>
      <x:c r="I282" s="61"/>
      <x:c r="J282" s="61"/>
      <x:c r="K282" s="61"/>
      <x:c r="L282" s="61"/>
      <x:c r="M282" s="61"/>
      <x:c r="N282" s="61"/>
      <x:c r="O282" s="61"/>
      <x:c r="P282" s="61"/>
      <x:c r="Q282" s="61"/>
    </x:row>
    <x:row r="283">
      <x:c r="A283" s="61"/>
      <x:c r="B283" s="61"/>
      <x:c r="C283" s="61"/>
      <x:c r="D283" s="61"/>
      <x:c r="E283" s="61"/>
      <x:c r="F283" s="61"/>
      <x:c r="G283" s="61"/>
      <x:c r="H283" s="61"/>
      <x:c r="I283" s="61"/>
      <x:c r="J283" s="61"/>
      <x:c r="K283" s="61"/>
      <x:c r="L283" s="61"/>
      <x:c r="M283" s="61"/>
      <x:c r="N283" s="61"/>
      <x:c r="O283" s="61"/>
      <x:c r="P283" s="61"/>
      <x:c r="Q283" s="61"/>
    </x:row>
    <x:row r="284">
      <x:c r="A284" s="61"/>
      <x:c r="B284" s="61"/>
      <x:c r="C284" s="61"/>
      <x:c r="D284" s="61"/>
      <x:c r="E284" s="61"/>
      <x:c r="F284" s="61"/>
      <x:c r="G284" s="61"/>
      <x:c r="H284" s="61"/>
      <x:c r="I284" s="61"/>
      <x:c r="J284" s="61"/>
      <x:c r="K284" s="61"/>
      <x:c r="L284" s="61"/>
      <x:c r="M284" s="61"/>
      <x:c r="N284" s="61"/>
      <x:c r="O284" s="61"/>
      <x:c r="P284" s="61"/>
      <x:c r="Q284" s="61"/>
    </x:row>
    <x:row r="285">
      <x:c r="A285" s="61"/>
      <x:c r="B285" s="61"/>
      <x:c r="C285" s="61"/>
      <x:c r="D285" s="61"/>
      <x:c r="E285" s="61"/>
      <x:c r="F285" s="61"/>
      <x:c r="G285" s="61"/>
      <x:c r="H285" s="61"/>
      <x:c r="I285" s="61"/>
      <x:c r="J285" s="61"/>
      <x:c r="K285" s="61"/>
      <x:c r="L285" s="61"/>
      <x:c r="M285" s="61"/>
      <x:c r="N285" s="61"/>
      <x:c r="O285" s="61"/>
      <x:c r="P285" s="61"/>
      <x:c r="Q285" s="61"/>
    </x:row>
    <x:row r="286">
      <x:c r="A286" s="61"/>
      <x:c r="B286" s="61"/>
      <x:c r="C286" s="61"/>
      <x:c r="D286" s="61"/>
      <x:c r="E286" s="61"/>
      <x:c r="F286" s="61"/>
      <x:c r="G286" s="61"/>
      <x:c r="H286" s="61"/>
      <x:c r="I286" s="61"/>
      <x:c r="J286" s="61"/>
      <x:c r="K286" s="61"/>
      <x:c r="L286" s="61"/>
      <x:c r="M286" s="61"/>
      <x:c r="N286" s="61"/>
      <x:c r="O286" s="61"/>
      <x:c r="P286" s="61"/>
      <x:c r="Q286" s="61"/>
    </x:row>
    <x:row r="287">
      <x:c r="A287" s="61"/>
      <x:c r="B287" s="61"/>
      <x:c r="C287" s="61"/>
      <x:c r="D287" s="61"/>
      <x:c r="E287" s="61"/>
      <x:c r="F287" s="61"/>
      <x:c r="G287" s="61"/>
      <x:c r="H287" s="61"/>
      <x:c r="I287" s="61"/>
      <x:c r="J287" s="61"/>
      <x:c r="K287" s="61"/>
      <x:c r="L287" s="61"/>
      <x:c r="M287" s="61"/>
      <x:c r="N287" s="61"/>
      <x:c r="O287" s="61"/>
      <x:c r="P287" s="61"/>
      <x:c r="Q287" s="61"/>
    </x:row>
    <x:row r="288">
      <x:c r="A288" s="61"/>
      <x:c r="B288" s="61"/>
      <x:c r="C288" s="61"/>
      <x:c r="D288" s="61"/>
      <x:c r="E288" s="61"/>
      <x:c r="F288" s="61"/>
      <x:c r="G288" s="61"/>
      <x:c r="H288" s="61"/>
      <x:c r="I288" s="61"/>
      <x:c r="J288" s="61"/>
      <x:c r="K288" s="61"/>
      <x:c r="L288" s="61"/>
      <x:c r="M288" s="61"/>
      <x:c r="N288" s="61"/>
      <x:c r="O288" s="61"/>
      <x:c r="P288" s="61"/>
      <x:c r="Q288" s="61"/>
    </x:row>
    <x:row r="289">
      <x:c r="A289" s="61"/>
      <x:c r="B289" s="61"/>
      <x:c r="C289" s="61"/>
      <x:c r="D289" s="61"/>
      <x:c r="E289" s="61"/>
      <x:c r="F289" s="61"/>
      <x:c r="G289" s="61"/>
      <x:c r="H289" s="61"/>
      <x:c r="I289" s="61"/>
      <x:c r="J289" s="61"/>
      <x:c r="K289" s="61"/>
      <x:c r="L289" s="61"/>
      <x:c r="M289" s="61"/>
      <x:c r="N289" s="61"/>
      <x:c r="O289" s="61"/>
      <x:c r="P289" s="61"/>
      <x:c r="Q289" s="61"/>
    </x:row>
    <x:row r="290">
      <x:c r="A290" s="61"/>
      <x:c r="B290" s="61"/>
      <x:c r="C290" s="61"/>
      <x:c r="D290" s="61"/>
      <x:c r="E290" s="61"/>
      <x:c r="F290" s="61"/>
      <x:c r="G290" s="61"/>
      <x:c r="H290" s="61"/>
      <x:c r="I290" s="61"/>
      <x:c r="J290" s="61"/>
      <x:c r="K290" s="61"/>
      <x:c r="L290" s="61"/>
      <x:c r="M290" s="61"/>
      <x:c r="N290" s="61"/>
      <x:c r="O290" s="61"/>
      <x:c r="P290" s="61"/>
      <x:c r="Q290" s="61"/>
    </x:row>
    <x:row r="291">
      <x:c r="A291" s="61"/>
      <x:c r="B291" s="61"/>
      <x:c r="C291" s="61"/>
      <x:c r="D291" s="61"/>
      <x:c r="E291" s="61"/>
      <x:c r="F291" s="61"/>
      <x:c r="G291" s="61"/>
      <x:c r="H291" s="61"/>
      <x:c r="I291" s="61"/>
      <x:c r="J291" s="61"/>
      <x:c r="K291" s="61"/>
      <x:c r="L291" s="61"/>
      <x:c r="M291" s="61"/>
      <x:c r="N291" s="61"/>
      <x:c r="O291" s="61"/>
      <x:c r="P291" s="61"/>
      <x:c r="Q291" s="61"/>
    </x:row>
    <x:row r="292">
      <x:c r="A292" s="61"/>
      <x:c r="B292" s="61"/>
      <x:c r="C292" s="61"/>
      <x:c r="D292" s="61"/>
      <x:c r="E292" s="61"/>
      <x:c r="F292" s="61"/>
      <x:c r="G292" s="61"/>
      <x:c r="H292" s="61"/>
      <x:c r="I292" s="61"/>
      <x:c r="J292" s="61"/>
      <x:c r="K292" s="61"/>
      <x:c r="L292" s="61"/>
      <x:c r="M292" s="61"/>
      <x:c r="N292" s="61"/>
      <x:c r="O292" s="61"/>
      <x:c r="P292" s="61"/>
      <x:c r="Q292" s="61"/>
    </x:row>
    <x:row r="293">
      <x:c r="A293" s="61"/>
      <x:c r="B293" s="61"/>
      <x:c r="C293" s="61"/>
      <x:c r="D293" s="61"/>
      <x:c r="E293" s="61"/>
      <x:c r="F293" s="61"/>
      <x:c r="G293" s="61"/>
      <x:c r="H293" s="61"/>
      <x:c r="I293" s="61"/>
      <x:c r="J293" s="61"/>
      <x:c r="K293" s="61"/>
      <x:c r="L293" s="61"/>
      <x:c r="M293" s="61"/>
      <x:c r="N293" s="61"/>
      <x:c r="O293" s="61"/>
      <x:c r="P293" s="61"/>
      <x:c r="Q293" s="61"/>
    </x:row>
    <x:row r="294">
      <x:c r="A294" s="61"/>
      <x:c r="B294" s="61"/>
      <x:c r="C294" s="61"/>
      <x:c r="D294" s="61"/>
      <x:c r="E294" s="61"/>
      <x:c r="F294" s="61"/>
      <x:c r="G294" s="61"/>
      <x:c r="H294" s="61"/>
      <x:c r="I294" s="61"/>
      <x:c r="J294" s="61"/>
      <x:c r="K294" s="61"/>
      <x:c r="L294" s="61"/>
      <x:c r="M294" s="61"/>
      <x:c r="N294" s="61"/>
      <x:c r="O294" s="61"/>
      <x:c r="P294" s="61"/>
      <x:c r="Q294" s="61"/>
    </x:row>
    <x:row r="295">
      <x:c r="A295" s="61"/>
      <x:c r="B295" s="61"/>
      <x:c r="C295" s="61"/>
      <x:c r="D295" s="61"/>
      <x:c r="E295" s="61"/>
      <x:c r="F295" s="61"/>
      <x:c r="G295" s="61"/>
      <x:c r="H295" s="61"/>
      <x:c r="I295" s="61"/>
      <x:c r="J295" s="61"/>
      <x:c r="K295" s="61"/>
      <x:c r="L295" s="61"/>
      <x:c r="M295" s="61"/>
      <x:c r="N295" s="61"/>
      <x:c r="O295" s="61"/>
      <x:c r="P295" s="61"/>
      <x:c r="Q295" s="61"/>
    </x:row>
    <x:row r="296">
      <x:c r="A296" s="61"/>
      <x:c r="B296" s="61"/>
      <x:c r="C296" s="61"/>
      <x:c r="D296" s="61"/>
      <x:c r="E296" s="61"/>
      <x:c r="F296" s="61"/>
      <x:c r="G296" s="61"/>
      <x:c r="H296" s="61"/>
      <x:c r="I296" s="61"/>
      <x:c r="J296" s="61"/>
      <x:c r="K296" s="61"/>
      <x:c r="L296" s="61"/>
      <x:c r="M296" s="61"/>
      <x:c r="N296" s="61"/>
      <x:c r="O296" s="61"/>
      <x:c r="P296" s="61"/>
      <x:c r="Q296" s="61"/>
    </x:row>
    <x:row r="297">
      <x:c r="A297" s="61"/>
      <x:c r="B297" s="61"/>
      <x:c r="C297" s="61"/>
      <x:c r="D297" s="61"/>
      <x:c r="E297" s="61"/>
      <x:c r="F297" s="61"/>
      <x:c r="G297" s="61"/>
      <x:c r="H297" s="61"/>
      <x:c r="I297" s="61"/>
      <x:c r="J297" s="61"/>
      <x:c r="K297" s="61"/>
      <x:c r="L297" s="61"/>
      <x:c r="M297" s="61"/>
      <x:c r="N297" s="61"/>
      <x:c r="O297" s="61"/>
      <x:c r="P297" s="61"/>
      <x:c r="Q297" s="61"/>
    </x:row>
    <x:row r="298">
      <x:c r="A298" s="61"/>
      <x:c r="B298" s="61"/>
      <x:c r="C298" s="61"/>
      <x:c r="D298" s="61"/>
      <x:c r="E298" s="61"/>
      <x:c r="F298" s="61"/>
      <x:c r="G298" s="61"/>
      <x:c r="H298" s="61"/>
      <x:c r="I298" s="61"/>
      <x:c r="J298" s="61"/>
      <x:c r="K298" s="61"/>
      <x:c r="L298" s="61"/>
      <x:c r="M298" s="61"/>
      <x:c r="N298" s="61"/>
      <x:c r="O298" s="61"/>
      <x:c r="P298" s="61"/>
      <x:c r="Q298" s="61"/>
    </x:row>
    <x:row r="299">
      <x:c r="A299" s="61"/>
      <x:c r="B299" s="61"/>
      <x:c r="C299" s="61"/>
      <x:c r="D299" s="61"/>
      <x:c r="E299" s="61"/>
      <x:c r="F299" s="61"/>
      <x:c r="G299" s="61"/>
      <x:c r="H299" s="61"/>
      <x:c r="I299" s="61"/>
      <x:c r="J299" s="61"/>
      <x:c r="K299" s="61"/>
      <x:c r="L299" s="61"/>
      <x:c r="M299" s="61"/>
      <x:c r="N299" s="61"/>
      <x:c r="O299" s="61"/>
      <x:c r="P299" s="61"/>
      <x:c r="Q299" s="61"/>
    </x:row>
    <x:row r="300">
      <x:c r="A300" s="61"/>
      <x:c r="B300" s="61"/>
      <x:c r="C300" s="61"/>
      <x:c r="D300" s="61"/>
      <x:c r="E300" s="61"/>
      <x:c r="F300" s="61"/>
      <x:c r="G300" s="61"/>
      <x:c r="H300" s="61"/>
      <x:c r="I300" s="61"/>
      <x:c r="J300" s="61"/>
      <x:c r="K300" s="61"/>
      <x:c r="L300" s="61"/>
      <x:c r="M300" s="61"/>
      <x:c r="N300" s="61"/>
      <x:c r="O300" s="61"/>
      <x:c r="P300" s="61"/>
      <x:c r="Q300" s="61"/>
    </x:row>
  </x:sheetData>
  <x:conditionalFormatting sqref="K2:K36">
    <x:cfRule type="expression" dxfId="7" priority="1">
      <x:formula>K2="Concluído"</x:formula>
    </x:cfRule>
    <x:cfRule type="expression" dxfId="8" priority="2">
      <x:formula>K2="Bloqueado"</x:formula>
    </x:cfRule>
  </x:conditionalFormatting>
  <x:dataValidations count="5">
    <x:dataValidation type="list" sqref="G2:G36">
      <x:formula1>"Pendente,Passou,Falhou,N/A"</x:formula1>
    </x:dataValidation>
    <x:dataValidation type="list" sqref="H2:H36">
      <x:formula1>"Pendente,Passou,Falhou,N/A"</x:formula1>
    </x:dataValidation>
    <x:dataValidation type="list" sqref="I2:I36">
      <x:formula1>"Pendente,Passou,Falhou,N/A"</x:formula1>
    </x:dataValidation>
    <x:dataValidation type="list" sqref="J2:J36">
      <x:formula1>"Pendente,Passou,Falhou,N/A"</x:formula1>
    </x:dataValidation>
    <x:dataValidation type="list" sqref="K2:K36">
      <x:formula1>"Não iniciado,Em andamento,Em validação,Bloqueado,Concluído"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bf2a48e950406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8" hidden="0" customWidth="1"/>
    <x:col min="4" max="4" width="15" hidden="0" customWidth="1"/>
    <x:col min="5" max="5" width="40" hidden="0" customWidth="1"/>
    <x:col min="6" max="6" width="42" hidden="0" customWidth="1"/>
    <x:col min="7" max="7" width="35" hidden="0" customWidth="1"/>
    <x:col min="8" max="8" width="10" hidden="0" customWidth="1"/>
    <x:col min="9" max="9" width="16" hidden="0" customWidth="1"/>
    <x:col min="10" max="10" width="16" hidden="0" customWidth="1"/>
    <x:col min="11" max="11" width="12" hidden="0" customWidth="1"/>
    <x:col min="12" max="12" width="18" hidden="0" customWidth="1"/>
    <x:col min="13" max="13" width="12" hidden="0" customWidth="1"/>
    <x:col min="14" max="14" width="34" hidden="0" customWidth="1"/>
  </x:cols>
  <x:sheetData>
    <x:row r="1">
      <x:c r="A1" s="60" t="str">
        <x:v>BUG-ID</x:v>
      </x:c>
      <x:c r="B1" s="60" t="str">
        <x:v>Data</x:v>
      </x:c>
      <x:c r="C1" s="60" t="str">
        <x:v>Área</x:v>
      </x:c>
      <x:c r="D1" s="60" t="str">
        <x:v>Plataforma</x:v>
      </x:c>
      <x:c r="E1" s="60" t="str">
        <x:v>Descrição</x:v>
      </x:c>
      <x:c r="F1" s="60" t="str">
        <x:v>Como reproduzir</x:v>
      </x:c>
      <x:c r="G1" s="60" t="str">
        <x:v>Impacto</x:v>
      </x:c>
      <x:c r="H1" s="60" t="str">
        <x:v>Prioridade</x:v>
      </x:c>
      <x:c r="I1" s="60" t="str">
        <x:v>Status</x:v>
      </x:c>
      <x:c r="J1" s="60" t="str">
        <x:v>Responsável</x:v>
      </x:c>
      <x:c r="K1" s="60" t="str">
        <x:v>Prazo</x:v>
      </x:c>
      <x:c r="L1" s="60" t="str">
        <x:v>Commit/PR</x:v>
      </x:c>
      <x:c r="M1" s="60" t="str">
        <x:v>Reteste</x:v>
      </x:c>
      <x:c r="N1" s="60" t="str">
        <x:v>Evidência/Notas</x:v>
      </x:c>
      <x:c r="O1" s="61"/>
      <x:c r="P1" s="61"/>
      <x:c r="Q1" s="61"/>
    </x:row>
    <x:row r="2">
      <x:c r="A2" s="61" t="str">
        <x:v>BUG-001</x:v>
      </x:c>
      <x:c r="B2" s="84" t="n">
        <x:v>46257</x:v>
      </x:c>
      <x:c r="C2" s="61" t="str">
        <x:v>Carteira</x:v>
      </x:c>
      <x:c r="D2" s="61" t="str">
        <x:v>Web + Mobile</x:v>
      </x:c>
      <x:c r="E2" s="64" t="str">
        <x:v>Em aberto mostra lançamentos diferentes no Mobile vs Web</x:v>
      </x:c>
      <x:c r="F2" s="64" t="str">
        <x:v>Abrir mesmo cliente/empresa nos dois e comparar Em aberto</x:v>
      </x:c>
      <x:c r="G2" s="64" t="str">
        <x:v>Saldo/recebíveis podem ficar inconsistentes</x:v>
      </x:c>
      <x:c r="H2" s="61" t="str">
        <x:v>P0</x:v>
      </x:c>
      <x:c r="I2" s="61" t="str">
        <x:v>Em andamento</x:v>
      </x:c>
      <x:c r="J2" s="61" t="str"/>
      <x:c r="K2" s="84" t="n">
        <x:v>46259</x:v>
      </x:c>
      <x:c r="L2" s="61" t="str"/>
      <x:c r="M2" s="61" t="str">
        <x:v>Pendente</x:v>
      </x:c>
      <x:c r="N2" s="64" t="str"/>
      <x:c r="O2" s="61"/>
      <x:c r="P2" s="61"/>
      <x:c r="Q2" s="61"/>
    </x:row>
    <x:row r="3">
      <x:c r="A3" s="61" t="str">
        <x:v>BUG-002</x:v>
      </x:c>
      <x:c r="B3" s="84" t="n">
        <x:v>46257</x:v>
      </x:c>
      <x:c r="C3" s="61" t="str">
        <x:v>Pagamentos</x:v>
      </x:c>
      <x:c r="D3" s="61" t="str">
        <x:v>Mobile</x:v>
      </x:c>
      <x:c r="E3" s="64" t="str">
        <x:v>Ao apagar valor de forma combinada, campo perde foco/some</x:v>
      </x:c>
      <x:c r="F3" s="64" t="str">
        <x:v>Selecionar duas formas, editar valor e usar Backspace até vazio</x:v>
      </x:c>
      <x:c r="G3" s="64" t="str">
        <x:v>Impossibilita combinar pagamentos no iPhone</x:v>
      </x:c>
      <x:c r="H3" s="61" t="str">
        <x:v>P0</x:v>
      </x:c>
      <x:c r="I3" s="61" t="str">
        <x:v>Em andamento</x:v>
      </x:c>
      <x:c r="J3" s="61" t="str"/>
      <x:c r="K3" s="84" t="n">
        <x:v>46259</x:v>
      </x:c>
      <x:c r="L3" s="61" t="str"/>
      <x:c r="M3" s="61" t="str">
        <x:v>Pendente</x:v>
      </x:c>
      <x:c r="N3" s="64" t="str"/>
      <x:c r="O3" s="61"/>
      <x:c r="P3" s="61"/>
      <x:c r="Q3" s="61"/>
    </x:row>
    <x:row r="4">
      <x:c r="A4" s="61"/>
      <x:c r="B4" s="84"/>
      <x:c r="C4" s="61"/>
      <x:c r="D4" s="61"/>
      <x:c r="E4" s="64"/>
      <x:c r="F4" s="64"/>
      <x:c r="G4" s="64"/>
      <x:c r="H4" s="61"/>
      <x:c r="I4" s="61"/>
      <x:c r="J4" s="61"/>
      <x:c r="K4" s="84"/>
      <x:c r="L4" s="61"/>
      <x:c r="M4" s="61"/>
      <x:c r="N4" s="64"/>
      <x:c r="O4" s="61"/>
      <x:c r="P4" s="61"/>
      <x:c r="Q4" s="61"/>
    </x:row>
    <x:row r="5">
      <x:c r="A5" s="61"/>
      <x:c r="B5" s="84"/>
      <x:c r="C5" s="61"/>
      <x:c r="D5" s="61"/>
      <x:c r="E5" s="64"/>
      <x:c r="F5" s="64"/>
      <x:c r="G5" s="64"/>
      <x:c r="H5" s="61"/>
      <x:c r="I5" s="61"/>
      <x:c r="J5" s="61"/>
      <x:c r="K5" s="84"/>
      <x:c r="L5" s="61"/>
      <x:c r="M5" s="61"/>
      <x:c r="N5" s="64"/>
      <x:c r="O5" s="61"/>
      <x:c r="P5" s="61"/>
      <x:c r="Q5" s="61"/>
    </x:row>
    <x:row r="6">
      <x:c r="A6" s="61"/>
      <x:c r="B6" s="84"/>
      <x:c r="C6" s="61"/>
      <x:c r="D6" s="61"/>
      <x:c r="E6" s="64"/>
      <x:c r="F6" s="64"/>
      <x:c r="G6" s="64"/>
      <x:c r="H6" s="61"/>
      <x:c r="I6" s="61"/>
      <x:c r="J6" s="61"/>
      <x:c r="K6" s="84"/>
      <x:c r="L6" s="61"/>
      <x:c r="M6" s="61"/>
      <x:c r="N6" s="64"/>
      <x:c r="O6" s="61"/>
      <x:c r="P6" s="61"/>
      <x:c r="Q6" s="61"/>
    </x:row>
    <x:row r="7">
      <x:c r="A7" s="61"/>
      <x:c r="B7" s="84"/>
      <x:c r="C7" s="61"/>
      <x:c r="D7" s="61"/>
      <x:c r="E7" s="64"/>
      <x:c r="F7" s="64"/>
      <x:c r="G7" s="64"/>
      <x:c r="H7" s="61"/>
      <x:c r="I7" s="61"/>
      <x:c r="J7" s="61"/>
      <x:c r="K7" s="84"/>
      <x:c r="L7" s="61"/>
      <x:c r="M7" s="61"/>
      <x:c r="N7" s="64"/>
      <x:c r="O7" s="61"/>
      <x:c r="P7" s="61"/>
      <x:c r="Q7" s="61"/>
    </x:row>
    <x:row r="8">
      <x:c r="A8" s="61"/>
      <x:c r="B8" s="84"/>
      <x:c r="C8" s="61"/>
      <x:c r="D8" s="61"/>
      <x:c r="E8" s="64"/>
      <x:c r="F8" s="64"/>
      <x:c r="G8" s="64"/>
      <x:c r="H8" s="61"/>
      <x:c r="I8" s="61"/>
      <x:c r="J8" s="61"/>
      <x:c r="K8" s="84"/>
      <x:c r="L8" s="61"/>
      <x:c r="M8" s="61"/>
      <x:c r="N8" s="64"/>
      <x:c r="O8" s="61"/>
      <x:c r="P8" s="61"/>
      <x:c r="Q8" s="61"/>
    </x:row>
    <x:row r="9">
      <x:c r="A9" s="61"/>
      <x:c r="B9" s="84"/>
      <x:c r="C9" s="61"/>
      <x:c r="D9" s="61"/>
      <x:c r="E9" s="64"/>
      <x:c r="F9" s="64"/>
      <x:c r="G9" s="64"/>
      <x:c r="H9" s="61"/>
      <x:c r="I9" s="61"/>
      <x:c r="J9" s="61"/>
      <x:c r="K9" s="84"/>
      <x:c r="L9" s="61"/>
      <x:c r="M9" s="61"/>
      <x:c r="N9" s="64"/>
      <x:c r="O9" s="61"/>
      <x:c r="P9" s="61"/>
      <x:c r="Q9" s="61"/>
    </x:row>
    <x:row r="10">
      <x:c r="A10" s="61"/>
      <x:c r="B10" s="84"/>
      <x:c r="C10" s="61"/>
      <x:c r="D10" s="61"/>
      <x:c r="E10" s="64"/>
      <x:c r="F10" s="64"/>
      <x:c r="G10" s="64"/>
      <x:c r="H10" s="61"/>
      <x:c r="I10" s="61"/>
      <x:c r="J10" s="61"/>
      <x:c r="K10" s="84"/>
      <x:c r="L10" s="61"/>
      <x:c r="M10" s="61"/>
      <x:c r="N10" s="64"/>
      <x:c r="O10" s="61"/>
      <x:c r="P10" s="61"/>
      <x:c r="Q10" s="61"/>
    </x:row>
    <x:row r="11">
      <x:c r="A11" s="61"/>
      <x:c r="B11" s="84"/>
      <x:c r="C11" s="61"/>
      <x:c r="D11" s="61"/>
      <x:c r="E11" s="64"/>
      <x:c r="F11" s="64"/>
      <x:c r="G11" s="64"/>
      <x:c r="H11" s="61"/>
      <x:c r="I11" s="61"/>
      <x:c r="J11" s="61"/>
      <x:c r="K11" s="84"/>
      <x:c r="L11" s="61"/>
      <x:c r="M11" s="61"/>
      <x:c r="N11" s="64"/>
      <x:c r="O11" s="61"/>
      <x:c r="P11" s="61"/>
      <x:c r="Q11" s="61"/>
    </x:row>
    <x:row r="12">
      <x:c r="A12" s="61"/>
      <x:c r="B12" s="84"/>
      <x:c r="C12" s="61"/>
      <x:c r="D12" s="61"/>
      <x:c r="E12" s="64"/>
      <x:c r="F12" s="64"/>
      <x:c r="G12" s="64"/>
      <x:c r="H12" s="61"/>
      <x:c r="I12" s="61"/>
      <x:c r="J12" s="61"/>
      <x:c r="K12" s="84"/>
      <x:c r="L12" s="61"/>
      <x:c r="M12" s="61"/>
      <x:c r="N12" s="64"/>
      <x:c r="O12" s="61"/>
      <x:c r="P12" s="61"/>
      <x:c r="Q12" s="61"/>
    </x:row>
    <x:row r="13">
      <x:c r="A13" s="61"/>
      <x:c r="B13" s="84"/>
      <x:c r="C13" s="61"/>
      <x:c r="D13" s="61"/>
      <x:c r="E13" s="64"/>
      <x:c r="F13" s="64"/>
      <x:c r="G13" s="64"/>
      <x:c r="H13" s="61"/>
      <x:c r="I13" s="61"/>
      <x:c r="J13" s="61"/>
      <x:c r="K13" s="84"/>
      <x:c r="L13" s="61"/>
      <x:c r="M13" s="61"/>
      <x:c r="N13" s="64"/>
      <x:c r="O13" s="61"/>
      <x:c r="P13" s="61"/>
      <x:c r="Q13" s="61"/>
    </x:row>
    <x:row r="14">
      <x:c r="A14" s="61"/>
      <x:c r="B14" s="84"/>
      <x:c r="C14" s="61"/>
      <x:c r="D14" s="61"/>
      <x:c r="E14" s="64"/>
      <x:c r="F14" s="64"/>
      <x:c r="G14" s="64"/>
      <x:c r="H14" s="61"/>
      <x:c r="I14" s="61"/>
      <x:c r="J14" s="61"/>
      <x:c r="K14" s="84"/>
      <x:c r="L14" s="61"/>
      <x:c r="M14" s="61"/>
      <x:c r="N14" s="64"/>
      <x:c r="O14" s="61"/>
      <x:c r="P14" s="61"/>
      <x:c r="Q14" s="61"/>
    </x:row>
    <x:row r="15">
      <x:c r="A15" s="61"/>
      <x:c r="B15" s="84"/>
      <x:c r="C15" s="61"/>
      <x:c r="D15" s="61"/>
      <x:c r="E15" s="64"/>
      <x:c r="F15" s="64"/>
      <x:c r="G15" s="64"/>
      <x:c r="H15" s="61"/>
      <x:c r="I15" s="61"/>
      <x:c r="J15" s="61"/>
      <x:c r="K15" s="84"/>
      <x:c r="L15" s="61"/>
      <x:c r="M15" s="61"/>
      <x:c r="N15" s="64"/>
      <x:c r="O15" s="61"/>
      <x:c r="P15" s="61"/>
      <x:c r="Q15" s="61"/>
    </x:row>
    <x:row r="16">
      <x:c r="A16" s="61"/>
      <x:c r="B16" s="84"/>
      <x:c r="C16" s="61"/>
      <x:c r="D16" s="61"/>
      <x:c r="E16" s="64"/>
      <x:c r="F16" s="64"/>
      <x:c r="G16" s="64"/>
      <x:c r="H16" s="61"/>
      <x:c r="I16" s="61"/>
      <x:c r="J16" s="61"/>
      <x:c r="K16" s="84"/>
      <x:c r="L16" s="61"/>
      <x:c r="M16" s="61"/>
      <x:c r="N16" s="64"/>
      <x:c r="O16" s="61"/>
      <x:c r="P16" s="61"/>
      <x:c r="Q16" s="61"/>
    </x:row>
    <x:row r="17">
      <x:c r="A17" s="61"/>
      <x:c r="B17" s="84"/>
      <x:c r="C17" s="61"/>
      <x:c r="D17" s="61"/>
      <x:c r="E17" s="64"/>
      <x:c r="F17" s="64"/>
      <x:c r="G17" s="64"/>
      <x:c r="H17" s="61"/>
      <x:c r="I17" s="61"/>
      <x:c r="J17" s="61"/>
      <x:c r="K17" s="84"/>
      <x:c r="L17" s="61"/>
      <x:c r="M17" s="61"/>
      <x:c r="N17" s="64"/>
      <x:c r="O17" s="61"/>
      <x:c r="P17" s="61"/>
      <x:c r="Q17" s="61"/>
    </x:row>
    <x:row r="18">
      <x:c r="A18" s="61"/>
      <x:c r="B18" s="84"/>
      <x:c r="C18" s="61"/>
      <x:c r="D18" s="61"/>
      <x:c r="E18" s="64"/>
      <x:c r="F18" s="64"/>
      <x:c r="G18" s="64"/>
      <x:c r="H18" s="61"/>
      <x:c r="I18" s="61"/>
      <x:c r="J18" s="61"/>
      <x:c r="K18" s="84"/>
      <x:c r="L18" s="61"/>
      <x:c r="M18" s="61"/>
      <x:c r="N18" s="64"/>
      <x:c r="O18" s="61"/>
      <x:c r="P18" s="61"/>
      <x:c r="Q18" s="61"/>
    </x:row>
    <x:row r="19">
      <x:c r="A19" s="61"/>
      <x:c r="B19" s="84"/>
      <x:c r="C19" s="61"/>
      <x:c r="D19" s="61"/>
      <x:c r="E19" s="64"/>
      <x:c r="F19" s="64"/>
      <x:c r="G19" s="64"/>
      <x:c r="H19" s="61"/>
      <x:c r="I19" s="61"/>
      <x:c r="J19" s="61"/>
      <x:c r="K19" s="84"/>
      <x:c r="L19" s="61"/>
      <x:c r="M19" s="61"/>
      <x:c r="N19" s="64"/>
      <x:c r="O19" s="61"/>
      <x:c r="P19" s="61"/>
      <x:c r="Q19" s="61"/>
    </x:row>
    <x:row r="20">
      <x:c r="A20" s="61"/>
      <x:c r="B20" s="84"/>
      <x:c r="C20" s="61"/>
      <x:c r="D20" s="61"/>
      <x:c r="E20" s="64"/>
      <x:c r="F20" s="64"/>
      <x:c r="G20" s="64"/>
      <x:c r="H20" s="61"/>
      <x:c r="I20" s="61"/>
      <x:c r="J20" s="61"/>
      <x:c r="K20" s="84"/>
      <x:c r="L20" s="61"/>
      <x:c r="M20" s="61"/>
      <x:c r="N20" s="64"/>
      <x:c r="O20" s="61"/>
      <x:c r="P20" s="61"/>
      <x:c r="Q20" s="61"/>
    </x:row>
    <x:row r="21">
      <x:c r="A21" s="61"/>
      <x:c r="B21" s="84"/>
      <x:c r="C21" s="61"/>
      <x:c r="D21" s="61"/>
      <x:c r="E21" s="64"/>
      <x:c r="F21" s="64"/>
      <x:c r="G21" s="64"/>
      <x:c r="H21" s="61"/>
      <x:c r="I21" s="61"/>
      <x:c r="J21" s="61"/>
      <x:c r="K21" s="84"/>
      <x:c r="L21" s="61"/>
      <x:c r="M21" s="61"/>
      <x:c r="N21" s="64"/>
      <x:c r="O21" s="61"/>
      <x:c r="P21" s="61"/>
      <x:c r="Q21" s="61"/>
    </x:row>
    <x:row r="22">
      <x:c r="A22" s="61"/>
      <x:c r="B22" s="84"/>
      <x:c r="C22" s="61"/>
      <x:c r="D22" s="61"/>
      <x:c r="E22" s="64"/>
      <x:c r="F22" s="64"/>
      <x:c r="G22" s="64"/>
      <x:c r="H22" s="61"/>
      <x:c r="I22" s="61"/>
      <x:c r="J22" s="61"/>
      <x:c r="K22" s="84"/>
      <x:c r="L22" s="61"/>
      <x:c r="M22" s="61"/>
      <x:c r="N22" s="64"/>
      <x:c r="O22" s="61"/>
      <x:c r="P22" s="61"/>
      <x:c r="Q22" s="61"/>
    </x:row>
    <x:row r="23">
      <x:c r="A23" s="61"/>
      <x:c r="B23" s="84"/>
      <x:c r="C23" s="61"/>
      <x:c r="D23" s="61"/>
      <x:c r="E23" s="64"/>
      <x:c r="F23" s="64"/>
      <x:c r="G23" s="64"/>
      <x:c r="H23" s="61"/>
      <x:c r="I23" s="61"/>
      <x:c r="J23" s="61"/>
      <x:c r="K23" s="84"/>
      <x:c r="L23" s="61"/>
      <x:c r="M23" s="61"/>
      <x:c r="N23" s="64"/>
      <x:c r="O23" s="61"/>
      <x:c r="P23" s="61"/>
      <x:c r="Q23" s="61"/>
    </x:row>
    <x:row r="24">
      <x:c r="A24" s="61"/>
      <x:c r="B24" s="84"/>
      <x:c r="C24" s="61"/>
      <x:c r="D24" s="61"/>
      <x:c r="E24" s="64"/>
      <x:c r="F24" s="64"/>
      <x:c r="G24" s="64"/>
      <x:c r="H24" s="61"/>
      <x:c r="I24" s="61"/>
      <x:c r="J24" s="61"/>
      <x:c r="K24" s="84"/>
      <x:c r="L24" s="61"/>
      <x:c r="M24" s="61"/>
      <x:c r="N24" s="64"/>
      <x:c r="O24" s="61"/>
      <x:c r="P24" s="61"/>
      <x:c r="Q24" s="61"/>
    </x:row>
    <x:row r="25">
      <x:c r="A25" s="61"/>
      <x:c r="B25" s="84"/>
      <x:c r="C25" s="61"/>
      <x:c r="D25" s="61"/>
      <x:c r="E25" s="64"/>
      <x:c r="F25" s="64"/>
      <x:c r="G25" s="64"/>
      <x:c r="H25" s="61"/>
      <x:c r="I25" s="61"/>
      <x:c r="J25" s="61"/>
      <x:c r="K25" s="84"/>
      <x:c r="L25" s="61"/>
      <x:c r="M25" s="61"/>
      <x:c r="N25" s="64"/>
      <x:c r="O25" s="61"/>
      <x:c r="P25" s="61"/>
      <x:c r="Q25" s="61"/>
    </x:row>
    <x:row r="26">
      <x:c r="A26" s="61"/>
      <x:c r="B26" s="84"/>
      <x:c r="C26" s="61"/>
      <x:c r="D26" s="61"/>
      <x:c r="E26" s="64"/>
      <x:c r="F26" s="64"/>
      <x:c r="G26" s="64"/>
      <x:c r="H26" s="61"/>
      <x:c r="I26" s="61"/>
      <x:c r="J26" s="61"/>
      <x:c r="K26" s="84"/>
      <x:c r="L26" s="61"/>
      <x:c r="M26" s="61"/>
      <x:c r="N26" s="64"/>
      <x:c r="O26" s="61"/>
      <x:c r="P26" s="61"/>
      <x:c r="Q26" s="61"/>
    </x:row>
    <x:row r="27">
      <x:c r="A27" s="61"/>
      <x:c r="B27" s="84"/>
      <x:c r="C27" s="61"/>
      <x:c r="D27" s="61"/>
      <x:c r="E27" s="64"/>
      <x:c r="F27" s="64"/>
      <x:c r="G27" s="64"/>
      <x:c r="H27" s="61"/>
      <x:c r="I27" s="61"/>
      <x:c r="J27" s="61"/>
      <x:c r="K27" s="84"/>
      <x:c r="L27" s="61"/>
      <x:c r="M27" s="61"/>
      <x:c r="N27" s="64"/>
      <x:c r="O27" s="61"/>
      <x:c r="P27" s="61"/>
      <x:c r="Q27" s="61"/>
    </x:row>
    <x:row r="28">
      <x:c r="A28" s="61"/>
      <x:c r="B28" s="84"/>
      <x:c r="C28" s="61"/>
      <x:c r="D28" s="61"/>
      <x:c r="E28" s="64"/>
      <x:c r="F28" s="64"/>
      <x:c r="G28" s="64"/>
      <x:c r="H28" s="61"/>
      <x:c r="I28" s="61"/>
      <x:c r="J28" s="61"/>
      <x:c r="K28" s="84"/>
      <x:c r="L28" s="61"/>
      <x:c r="M28" s="61"/>
      <x:c r="N28" s="64"/>
      <x:c r="O28" s="61"/>
      <x:c r="P28" s="61"/>
      <x:c r="Q28" s="61"/>
    </x:row>
    <x:row r="29">
      <x:c r="A29" s="61"/>
      <x:c r="B29" s="84"/>
      <x:c r="C29" s="61"/>
      <x:c r="D29" s="61"/>
      <x:c r="E29" s="64"/>
      <x:c r="F29" s="64"/>
      <x:c r="G29" s="64"/>
      <x:c r="H29" s="61"/>
      <x:c r="I29" s="61"/>
      <x:c r="J29" s="61"/>
      <x:c r="K29" s="84"/>
      <x:c r="L29" s="61"/>
      <x:c r="M29" s="61"/>
      <x:c r="N29" s="64"/>
      <x:c r="O29" s="61"/>
      <x:c r="P29" s="61"/>
      <x:c r="Q29" s="61"/>
    </x:row>
    <x:row r="30">
      <x:c r="A30" s="61"/>
      <x:c r="B30" s="84"/>
      <x:c r="C30" s="61"/>
      <x:c r="D30" s="61"/>
      <x:c r="E30" s="64"/>
      <x:c r="F30" s="64"/>
      <x:c r="G30" s="64"/>
      <x:c r="H30" s="61"/>
      <x:c r="I30" s="61"/>
      <x:c r="J30" s="61"/>
      <x:c r="K30" s="84"/>
      <x:c r="L30" s="61"/>
      <x:c r="M30" s="61"/>
      <x:c r="N30" s="64"/>
      <x:c r="O30" s="61"/>
      <x:c r="P30" s="61"/>
      <x:c r="Q30" s="61"/>
    </x:row>
    <x:row r="31">
      <x:c r="A31" s="61"/>
      <x:c r="B31" s="84"/>
      <x:c r="C31" s="61"/>
      <x:c r="D31" s="61"/>
      <x:c r="E31" s="64"/>
      <x:c r="F31" s="64"/>
      <x:c r="G31" s="64"/>
      <x:c r="H31" s="61"/>
      <x:c r="I31" s="61"/>
      <x:c r="J31" s="61"/>
      <x:c r="K31" s="84"/>
      <x:c r="L31" s="61"/>
      <x:c r="M31" s="61"/>
      <x:c r="N31" s="64"/>
      <x:c r="O31" s="61"/>
      <x:c r="P31" s="61"/>
      <x:c r="Q31" s="61"/>
    </x:row>
    <x:row r="32">
      <x:c r="A32" s="61"/>
      <x:c r="B32" s="84"/>
      <x:c r="C32" s="61"/>
      <x:c r="D32" s="61"/>
      <x:c r="E32" s="64"/>
      <x:c r="F32" s="64"/>
      <x:c r="G32" s="64"/>
      <x:c r="H32" s="61"/>
      <x:c r="I32" s="61"/>
      <x:c r="J32" s="61"/>
      <x:c r="K32" s="84"/>
      <x:c r="L32" s="61"/>
      <x:c r="M32" s="61"/>
      <x:c r="N32" s="64"/>
      <x:c r="O32" s="61"/>
      <x:c r="P32" s="61"/>
      <x:c r="Q32" s="61"/>
    </x:row>
    <x:row r="33">
      <x:c r="A33" s="61"/>
      <x:c r="B33" s="84"/>
      <x:c r="C33" s="61"/>
      <x:c r="D33" s="61"/>
      <x:c r="E33" s="64"/>
      <x:c r="F33" s="64"/>
      <x:c r="G33" s="64"/>
      <x:c r="H33" s="61"/>
      <x:c r="I33" s="61"/>
      <x:c r="J33" s="61"/>
      <x:c r="K33" s="84"/>
      <x:c r="L33" s="61"/>
      <x:c r="M33" s="61"/>
      <x:c r="N33" s="64"/>
      <x:c r="O33" s="61"/>
      <x:c r="P33" s="61"/>
      <x:c r="Q33" s="61"/>
    </x:row>
    <x:row r="34">
      <x:c r="A34" s="61"/>
      <x:c r="B34" s="84"/>
      <x:c r="C34" s="61"/>
      <x:c r="D34" s="61"/>
      <x:c r="E34" s="64"/>
      <x:c r="F34" s="64"/>
      <x:c r="G34" s="64"/>
      <x:c r="H34" s="61"/>
      <x:c r="I34" s="61"/>
      <x:c r="J34" s="61"/>
      <x:c r="K34" s="84"/>
      <x:c r="L34" s="61"/>
      <x:c r="M34" s="61"/>
      <x:c r="N34" s="64"/>
      <x:c r="O34" s="61"/>
      <x:c r="P34" s="61"/>
      <x:c r="Q34" s="61"/>
    </x:row>
    <x:row r="35">
      <x:c r="A35" s="61"/>
      <x:c r="B35" s="84"/>
      <x:c r="C35" s="61"/>
      <x:c r="D35" s="61"/>
      <x:c r="E35" s="64"/>
      <x:c r="F35" s="64"/>
      <x:c r="G35" s="64"/>
      <x:c r="H35" s="61"/>
      <x:c r="I35" s="61"/>
      <x:c r="J35" s="61"/>
      <x:c r="K35" s="84"/>
      <x:c r="L35" s="61"/>
      <x:c r="M35" s="61"/>
      <x:c r="N35" s="64"/>
      <x:c r="O35" s="61"/>
      <x:c r="P35" s="61"/>
      <x:c r="Q35" s="61"/>
    </x:row>
    <x:row r="36">
      <x:c r="A36" s="61"/>
      <x:c r="B36" s="84"/>
      <x:c r="C36" s="61"/>
      <x:c r="D36" s="61"/>
      <x:c r="E36" s="64"/>
      <x:c r="F36" s="64"/>
      <x:c r="G36" s="64"/>
      <x:c r="H36" s="61"/>
      <x:c r="I36" s="61"/>
      <x:c r="J36" s="61"/>
      <x:c r="K36" s="84"/>
      <x:c r="L36" s="61"/>
      <x:c r="M36" s="61"/>
      <x:c r="N36" s="64"/>
      <x:c r="O36" s="61"/>
      <x:c r="P36" s="61"/>
      <x:c r="Q36" s="61"/>
    </x:row>
    <x:row r="37">
      <x:c r="A37" s="61"/>
      <x:c r="B37" s="84"/>
      <x:c r="C37" s="61"/>
      <x:c r="D37" s="61"/>
      <x:c r="E37" s="64"/>
      <x:c r="F37" s="64"/>
      <x:c r="G37" s="64"/>
      <x:c r="H37" s="61"/>
      <x:c r="I37" s="61"/>
      <x:c r="J37" s="61"/>
      <x:c r="K37" s="84"/>
      <x:c r="L37" s="61"/>
      <x:c r="M37" s="61"/>
      <x:c r="N37" s="64"/>
      <x:c r="O37" s="61"/>
      <x:c r="P37" s="61"/>
      <x:c r="Q37" s="61"/>
    </x:row>
    <x:row r="38">
      <x:c r="A38" s="61"/>
      <x:c r="B38" s="84"/>
      <x:c r="C38" s="61"/>
      <x:c r="D38" s="61"/>
      <x:c r="E38" s="64"/>
      <x:c r="F38" s="64"/>
      <x:c r="G38" s="64"/>
      <x:c r="H38" s="61"/>
      <x:c r="I38" s="61"/>
      <x:c r="J38" s="61"/>
      <x:c r="K38" s="84"/>
      <x:c r="L38" s="61"/>
      <x:c r="M38" s="61"/>
      <x:c r="N38" s="64"/>
      <x:c r="O38" s="61"/>
      <x:c r="P38" s="61"/>
      <x:c r="Q38" s="61"/>
    </x:row>
    <x:row r="39">
      <x:c r="A39" s="61"/>
      <x:c r="B39" s="84"/>
      <x:c r="C39" s="61"/>
      <x:c r="D39" s="61"/>
      <x:c r="E39" s="64"/>
      <x:c r="F39" s="64"/>
      <x:c r="G39" s="64"/>
      <x:c r="H39" s="61"/>
      <x:c r="I39" s="61"/>
      <x:c r="J39" s="61"/>
      <x:c r="K39" s="84"/>
      <x:c r="L39" s="61"/>
      <x:c r="M39" s="61"/>
      <x:c r="N39" s="64"/>
      <x:c r="O39" s="61"/>
      <x:c r="P39" s="61"/>
      <x:c r="Q39" s="61"/>
    </x:row>
    <x:row r="40">
      <x:c r="A40" s="61"/>
      <x:c r="B40" s="84"/>
      <x:c r="C40" s="61"/>
      <x:c r="D40" s="61"/>
      <x:c r="E40" s="64"/>
      <x:c r="F40" s="64"/>
      <x:c r="G40" s="64"/>
      <x:c r="H40" s="61"/>
      <x:c r="I40" s="61"/>
      <x:c r="J40" s="61"/>
      <x:c r="K40" s="84"/>
      <x:c r="L40" s="61"/>
      <x:c r="M40" s="61"/>
      <x:c r="N40" s="64"/>
      <x:c r="O40" s="61"/>
      <x:c r="P40" s="61"/>
      <x:c r="Q40" s="61"/>
    </x:row>
    <x:row r="41">
      <x:c r="A41" s="61"/>
      <x:c r="B41" s="84"/>
      <x:c r="C41" s="61"/>
      <x:c r="D41" s="61"/>
      <x:c r="E41" s="64"/>
      <x:c r="F41" s="64"/>
      <x:c r="G41" s="64"/>
      <x:c r="H41" s="61"/>
      <x:c r="I41" s="61"/>
      <x:c r="J41" s="61"/>
      <x:c r="K41" s="84"/>
      <x:c r="L41" s="61"/>
      <x:c r="M41" s="61"/>
      <x:c r="N41" s="64"/>
      <x:c r="O41" s="61"/>
      <x:c r="P41" s="61"/>
      <x:c r="Q41" s="61"/>
    </x:row>
    <x:row r="42">
      <x:c r="A42" s="61"/>
      <x:c r="B42" s="84"/>
      <x:c r="C42" s="61"/>
      <x:c r="D42" s="61"/>
      <x:c r="E42" s="64"/>
      <x:c r="F42" s="64"/>
      <x:c r="G42" s="64"/>
      <x:c r="H42" s="61"/>
      <x:c r="I42" s="61"/>
      <x:c r="J42" s="61"/>
      <x:c r="K42" s="84"/>
      <x:c r="L42" s="61"/>
      <x:c r="M42" s="61"/>
      <x:c r="N42" s="64"/>
      <x:c r="O42" s="61"/>
      <x:c r="P42" s="61"/>
      <x:c r="Q42" s="61"/>
    </x:row>
    <x:row r="43">
      <x:c r="A43" s="61"/>
      <x:c r="B43" s="84"/>
      <x:c r="C43" s="61"/>
      <x:c r="D43" s="61"/>
      <x:c r="E43" s="64"/>
      <x:c r="F43" s="64"/>
      <x:c r="G43" s="64"/>
      <x:c r="H43" s="61"/>
      <x:c r="I43" s="61"/>
      <x:c r="J43" s="61"/>
      <x:c r="K43" s="84"/>
      <x:c r="L43" s="61"/>
      <x:c r="M43" s="61"/>
      <x:c r="N43" s="64"/>
      <x:c r="O43" s="61"/>
      <x:c r="P43" s="61"/>
      <x:c r="Q43" s="61"/>
    </x:row>
    <x:row r="44">
      <x:c r="A44" s="61"/>
      <x:c r="B44" s="84"/>
      <x:c r="C44" s="61"/>
      <x:c r="D44" s="61"/>
      <x:c r="E44" s="64"/>
      <x:c r="F44" s="64"/>
      <x:c r="G44" s="64"/>
      <x:c r="H44" s="61"/>
      <x:c r="I44" s="61"/>
      <x:c r="J44" s="61"/>
      <x:c r="K44" s="84"/>
      <x:c r="L44" s="61"/>
      <x:c r="M44" s="61"/>
      <x:c r="N44" s="64"/>
      <x:c r="O44" s="61"/>
      <x:c r="P44" s="61"/>
      <x:c r="Q44" s="61"/>
    </x:row>
    <x:row r="45">
      <x:c r="A45" s="61"/>
      <x:c r="B45" s="84"/>
      <x:c r="C45" s="61"/>
      <x:c r="D45" s="61"/>
      <x:c r="E45" s="64"/>
      <x:c r="F45" s="64"/>
      <x:c r="G45" s="64"/>
      <x:c r="H45" s="61"/>
      <x:c r="I45" s="61"/>
      <x:c r="J45" s="61"/>
      <x:c r="K45" s="84"/>
      <x:c r="L45" s="61"/>
      <x:c r="M45" s="61"/>
      <x:c r="N45" s="64"/>
      <x:c r="O45" s="61"/>
      <x:c r="P45" s="61"/>
      <x:c r="Q45" s="61"/>
    </x:row>
    <x:row r="46">
      <x:c r="A46" s="61"/>
      <x:c r="B46" s="84"/>
      <x:c r="C46" s="61"/>
      <x:c r="D46" s="61"/>
      <x:c r="E46" s="64"/>
      <x:c r="F46" s="64"/>
      <x:c r="G46" s="64"/>
      <x:c r="H46" s="61"/>
      <x:c r="I46" s="61"/>
      <x:c r="J46" s="61"/>
      <x:c r="K46" s="84"/>
      <x:c r="L46" s="61"/>
      <x:c r="M46" s="61"/>
      <x:c r="N46" s="64"/>
      <x:c r="O46" s="61"/>
      <x:c r="P46" s="61"/>
      <x:c r="Q46" s="61"/>
    </x:row>
    <x:row r="47">
      <x:c r="A47" s="61"/>
      <x:c r="B47" s="84"/>
      <x:c r="C47" s="61"/>
      <x:c r="D47" s="61"/>
      <x:c r="E47" s="64"/>
      <x:c r="F47" s="64"/>
      <x:c r="G47" s="64"/>
      <x:c r="H47" s="61"/>
      <x:c r="I47" s="61"/>
      <x:c r="J47" s="61"/>
      <x:c r="K47" s="84"/>
      <x:c r="L47" s="61"/>
      <x:c r="M47" s="61"/>
      <x:c r="N47" s="64"/>
      <x:c r="O47" s="61"/>
      <x:c r="P47" s="61"/>
      <x:c r="Q47" s="61"/>
    </x:row>
    <x:row r="48">
      <x:c r="A48" s="61"/>
      <x:c r="B48" s="84"/>
      <x:c r="C48" s="61"/>
      <x:c r="D48" s="61"/>
      <x:c r="E48" s="64"/>
      <x:c r="F48" s="64"/>
      <x:c r="G48" s="64"/>
      <x:c r="H48" s="61"/>
      <x:c r="I48" s="61"/>
      <x:c r="J48" s="61"/>
      <x:c r="K48" s="84"/>
      <x:c r="L48" s="61"/>
      <x:c r="M48" s="61"/>
      <x:c r="N48" s="64"/>
      <x:c r="O48" s="61"/>
      <x:c r="P48" s="61"/>
      <x:c r="Q48" s="61"/>
    </x:row>
    <x:row r="49">
      <x:c r="A49" s="61"/>
      <x:c r="B49" s="84"/>
      <x:c r="C49" s="61"/>
      <x:c r="D49" s="61"/>
      <x:c r="E49" s="64"/>
      <x:c r="F49" s="64"/>
      <x:c r="G49" s="64"/>
      <x:c r="H49" s="61"/>
      <x:c r="I49" s="61"/>
      <x:c r="J49" s="61"/>
      <x:c r="K49" s="84"/>
      <x:c r="L49" s="61"/>
      <x:c r="M49" s="61"/>
      <x:c r="N49" s="64"/>
      <x:c r="O49" s="61"/>
      <x:c r="P49" s="61"/>
      <x:c r="Q49" s="61"/>
    </x:row>
    <x:row r="50">
      <x:c r="A50" s="61"/>
      <x:c r="B50" s="84"/>
      <x:c r="C50" s="61"/>
      <x:c r="D50" s="61"/>
      <x:c r="E50" s="64"/>
      <x:c r="F50" s="64"/>
      <x:c r="G50" s="64"/>
      <x:c r="H50" s="61"/>
      <x:c r="I50" s="61"/>
      <x:c r="J50" s="61"/>
      <x:c r="K50" s="84"/>
      <x:c r="L50" s="61"/>
      <x:c r="M50" s="61"/>
      <x:c r="N50" s="64"/>
      <x:c r="O50" s="61"/>
      <x:c r="P50" s="61"/>
      <x:c r="Q50" s="61"/>
    </x:row>
    <x:row r="51">
      <x:c r="A51" s="61"/>
      <x:c r="B51" s="84"/>
      <x:c r="C51" s="61"/>
      <x:c r="D51" s="61"/>
      <x:c r="E51" s="64"/>
      <x:c r="F51" s="64"/>
      <x:c r="G51" s="64"/>
      <x:c r="H51" s="61"/>
      <x:c r="I51" s="61"/>
      <x:c r="J51" s="61"/>
      <x:c r="K51" s="84"/>
      <x:c r="L51" s="61"/>
      <x:c r="M51" s="61"/>
      <x:c r="N51" s="64"/>
      <x:c r="O51" s="61"/>
      <x:c r="P51" s="61"/>
      <x:c r="Q51" s="61"/>
    </x:row>
    <x:row r="52">
      <x:c r="A52" s="61"/>
      <x:c r="B52" s="84"/>
      <x:c r="C52" s="61"/>
      <x:c r="D52" s="61"/>
      <x:c r="E52" s="64"/>
      <x:c r="F52" s="64"/>
      <x:c r="G52" s="64"/>
      <x:c r="H52" s="61"/>
      <x:c r="I52" s="61"/>
      <x:c r="J52" s="61"/>
      <x:c r="K52" s="84"/>
      <x:c r="L52" s="61"/>
      <x:c r="M52" s="61"/>
      <x:c r="N52" s="64"/>
      <x:c r="O52" s="61"/>
      <x:c r="P52" s="61"/>
      <x:c r="Q52" s="61"/>
    </x:row>
    <x:row r="53">
      <x:c r="A53" s="61"/>
      <x:c r="B53" s="84"/>
      <x:c r="C53" s="61"/>
      <x:c r="D53" s="61"/>
      <x:c r="E53" s="64"/>
      <x:c r="F53" s="64"/>
      <x:c r="G53" s="64"/>
      <x:c r="H53" s="61"/>
      <x:c r="I53" s="61"/>
      <x:c r="J53" s="61"/>
      <x:c r="K53" s="84"/>
      <x:c r="L53" s="61"/>
      <x:c r="M53" s="61"/>
      <x:c r="N53" s="64"/>
      <x:c r="O53" s="61"/>
      <x:c r="P53" s="61"/>
      <x:c r="Q53" s="61"/>
    </x:row>
    <x:row r="54">
      <x:c r="A54" s="61"/>
      <x:c r="B54" s="84"/>
      <x:c r="C54" s="61"/>
      <x:c r="D54" s="61"/>
      <x:c r="E54" s="64"/>
      <x:c r="F54" s="64"/>
      <x:c r="G54" s="64"/>
      <x:c r="H54" s="61"/>
      <x:c r="I54" s="61"/>
      <x:c r="J54" s="61"/>
      <x:c r="K54" s="84"/>
      <x:c r="L54" s="61"/>
      <x:c r="M54" s="61"/>
      <x:c r="N54" s="64"/>
      <x:c r="O54" s="61"/>
      <x:c r="P54" s="61"/>
      <x:c r="Q54" s="61"/>
    </x:row>
    <x:row r="55">
      <x:c r="A55" s="61"/>
      <x:c r="B55" s="84"/>
      <x:c r="C55" s="61"/>
      <x:c r="D55" s="61"/>
      <x:c r="E55" s="64"/>
      <x:c r="F55" s="64"/>
      <x:c r="G55" s="64"/>
      <x:c r="H55" s="61"/>
      <x:c r="I55" s="61"/>
      <x:c r="J55" s="61"/>
      <x:c r="K55" s="84"/>
      <x:c r="L55" s="61"/>
      <x:c r="M55" s="61"/>
      <x:c r="N55" s="64"/>
      <x:c r="O55" s="61"/>
      <x:c r="P55" s="61"/>
      <x:c r="Q55" s="61"/>
    </x:row>
    <x:row r="56">
      <x:c r="A56" s="61"/>
      <x:c r="B56" s="84"/>
      <x:c r="C56" s="61"/>
      <x:c r="D56" s="61"/>
      <x:c r="E56" s="64"/>
      <x:c r="F56" s="64"/>
      <x:c r="G56" s="64"/>
      <x:c r="H56" s="61"/>
      <x:c r="I56" s="61"/>
      <x:c r="J56" s="61"/>
      <x:c r="K56" s="84"/>
      <x:c r="L56" s="61"/>
      <x:c r="M56" s="61"/>
      <x:c r="N56" s="64"/>
      <x:c r="O56" s="61"/>
      <x:c r="P56" s="61"/>
      <x:c r="Q56" s="61"/>
    </x:row>
    <x:row r="57">
      <x:c r="A57" s="61"/>
      <x:c r="B57" s="84"/>
      <x:c r="C57" s="61"/>
      <x:c r="D57" s="61"/>
      <x:c r="E57" s="64"/>
      <x:c r="F57" s="64"/>
      <x:c r="G57" s="64"/>
      <x:c r="H57" s="61"/>
      <x:c r="I57" s="61"/>
      <x:c r="J57" s="61"/>
      <x:c r="K57" s="84"/>
      <x:c r="L57" s="61"/>
      <x:c r="M57" s="61"/>
      <x:c r="N57" s="64"/>
      <x:c r="O57" s="61"/>
      <x:c r="P57" s="61"/>
      <x:c r="Q57" s="61"/>
    </x:row>
    <x:row r="58">
      <x:c r="A58" s="61"/>
      <x:c r="B58" s="84"/>
      <x:c r="C58" s="61"/>
      <x:c r="D58" s="61"/>
      <x:c r="E58" s="64"/>
      <x:c r="F58" s="64"/>
      <x:c r="G58" s="64"/>
      <x:c r="H58" s="61"/>
      <x:c r="I58" s="61"/>
      <x:c r="J58" s="61"/>
      <x:c r="K58" s="84"/>
      <x:c r="L58" s="61"/>
      <x:c r="M58" s="61"/>
      <x:c r="N58" s="64"/>
      <x:c r="O58" s="61"/>
      <x:c r="P58" s="61"/>
      <x:c r="Q58" s="61"/>
    </x:row>
    <x:row r="59">
      <x:c r="A59" s="61"/>
      <x:c r="B59" s="84"/>
      <x:c r="C59" s="61"/>
      <x:c r="D59" s="61"/>
      <x:c r="E59" s="64"/>
      <x:c r="F59" s="64"/>
      <x:c r="G59" s="64"/>
      <x:c r="H59" s="61"/>
      <x:c r="I59" s="61"/>
      <x:c r="J59" s="61"/>
      <x:c r="K59" s="84"/>
      <x:c r="L59" s="61"/>
      <x:c r="M59" s="61"/>
      <x:c r="N59" s="64"/>
      <x:c r="O59" s="61"/>
      <x:c r="P59" s="61"/>
      <x:c r="Q59" s="61"/>
    </x:row>
    <x:row r="60">
      <x:c r="A60" s="61"/>
      <x:c r="B60" s="84"/>
      <x:c r="C60" s="61"/>
      <x:c r="D60" s="61"/>
      <x:c r="E60" s="64"/>
      <x:c r="F60" s="64"/>
      <x:c r="G60" s="64"/>
      <x:c r="H60" s="61"/>
      <x:c r="I60" s="61"/>
      <x:c r="J60" s="61"/>
      <x:c r="K60" s="84"/>
      <x:c r="L60" s="61"/>
      <x:c r="M60" s="61"/>
      <x:c r="N60" s="64"/>
      <x:c r="O60" s="61"/>
      <x:c r="P60" s="61"/>
      <x:c r="Q60" s="61"/>
    </x:row>
    <x:row r="61">
      <x:c r="A61" s="61"/>
      <x:c r="B61" s="84"/>
      <x:c r="C61" s="61"/>
      <x:c r="D61" s="61"/>
      <x:c r="E61" s="64"/>
      <x:c r="F61" s="64"/>
      <x:c r="G61" s="64"/>
      <x:c r="H61" s="61"/>
      <x:c r="I61" s="61"/>
      <x:c r="J61" s="61"/>
      <x:c r="K61" s="84"/>
      <x:c r="L61" s="61"/>
      <x:c r="M61" s="61"/>
      <x:c r="N61" s="64"/>
      <x:c r="O61" s="61"/>
      <x:c r="P61" s="61"/>
      <x:c r="Q61" s="61"/>
    </x:row>
    <x:row r="62">
      <x:c r="A62" s="61"/>
      <x:c r="B62" s="84"/>
      <x:c r="C62" s="61"/>
      <x:c r="D62" s="61"/>
      <x:c r="E62" s="64"/>
      <x:c r="F62" s="64"/>
      <x:c r="G62" s="64"/>
      <x:c r="H62" s="61"/>
      <x:c r="I62" s="61"/>
      <x:c r="J62" s="61"/>
      <x:c r="K62" s="84"/>
      <x:c r="L62" s="61"/>
      <x:c r="M62" s="61"/>
      <x:c r="N62" s="64"/>
      <x:c r="O62" s="61"/>
      <x:c r="P62" s="61"/>
      <x:c r="Q62" s="61"/>
    </x:row>
    <x:row r="63">
      <x:c r="A63" s="61"/>
      <x:c r="B63" s="84"/>
      <x:c r="C63" s="61"/>
      <x:c r="D63" s="61"/>
      <x:c r="E63" s="64"/>
      <x:c r="F63" s="64"/>
      <x:c r="G63" s="64"/>
      <x:c r="H63" s="61"/>
      <x:c r="I63" s="61"/>
      <x:c r="J63" s="61"/>
      <x:c r="K63" s="84"/>
      <x:c r="L63" s="61"/>
      <x:c r="M63" s="61"/>
      <x:c r="N63" s="64"/>
      <x:c r="O63" s="61"/>
      <x:c r="P63" s="61"/>
      <x:c r="Q63" s="61"/>
    </x:row>
    <x:row r="64">
      <x:c r="A64" s="61"/>
      <x:c r="B64" s="84"/>
      <x:c r="C64" s="61"/>
      <x:c r="D64" s="61"/>
      <x:c r="E64" s="64"/>
      <x:c r="F64" s="64"/>
      <x:c r="G64" s="64"/>
      <x:c r="H64" s="61"/>
      <x:c r="I64" s="61"/>
      <x:c r="J64" s="61"/>
      <x:c r="K64" s="84"/>
      <x:c r="L64" s="61"/>
      <x:c r="M64" s="61"/>
      <x:c r="N64" s="64"/>
      <x:c r="O64" s="61"/>
      <x:c r="P64" s="61"/>
      <x:c r="Q64" s="61"/>
    </x:row>
    <x:row r="65">
      <x:c r="A65" s="61"/>
      <x:c r="B65" s="84"/>
      <x:c r="C65" s="61"/>
      <x:c r="D65" s="61"/>
      <x:c r="E65" s="64"/>
      <x:c r="F65" s="64"/>
      <x:c r="G65" s="64"/>
      <x:c r="H65" s="61"/>
      <x:c r="I65" s="61"/>
      <x:c r="J65" s="61"/>
      <x:c r="K65" s="84"/>
      <x:c r="L65" s="61"/>
      <x:c r="M65" s="61"/>
      <x:c r="N65" s="64"/>
      <x:c r="O65" s="61"/>
      <x:c r="P65" s="61"/>
      <x:c r="Q65" s="61"/>
    </x:row>
    <x:row r="66">
      <x:c r="A66" s="61"/>
      <x:c r="B66" s="84"/>
      <x:c r="C66" s="61"/>
      <x:c r="D66" s="61"/>
      <x:c r="E66" s="64"/>
      <x:c r="F66" s="64"/>
      <x:c r="G66" s="64"/>
      <x:c r="H66" s="61"/>
      <x:c r="I66" s="61"/>
      <x:c r="J66" s="61"/>
      <x:c r="K66" s="84"/>
      <x:c r="L66" s="61"/>
      <x:c r="M66" s="61"/>
      <x:c r="N66" s="64"/>
      <x:c r="O66" s="61"/>
      <x:c r="P66" s="61"/>
      <x:c r="Q66" s="61"/>
    </x:row>
    <x:row r="67">
      <x:c r="A67" s="61"/>
      <x:c r="B67" s="84"/>
      <x:c r="C67" s="61"/>
      <x:c r="D67" s="61"/>
      <x:c r="E67" s="64"/>
      <x:c r="F67" s="64"/>
      <x:c r="G67" s="64"/>
      <x:c r="H67" s="61"/>
      <x:c r="I67" s="61"/>
      <x:c r="J67" s="61"/>
      <x:c r="K67" s="84"/>
      <x:c r="L67" s="61"/>
      <x:c r="M67" s="61"/>
      <x:c r="N67" s="64"/>
      <x:c r="O67" s="61"/>
      <x:c r="P67" s="61"/>
      <x:c r="Q67" s="61"/>
    </x:row>
    <x:row r="68">
      <x:c r="A68" s="61"/>
      <x:c r="B68" s="84"/>
      <x:c r="C68" s="61"/>
      <x:c r="D68" s="61"/>
      <x:c r="E68" s="64"/>
      <x:c r="F68" s="64"/>
      <x:c r="G68" s="64"/>
      <x:c r="H68" s="61"/>
      <x:c r="I68" s="61"/>
      <x:c r="J68" s="61"/>
      <x:c r="K68" s="84"/>
      <x:c r="L68" s="61"/>
      <x:c r="M68" s="61"/>
      <x:c r="N68" s="64"/>
      <x:c r="O68" s="61"/>
      <x:c r="P68" s="61"/>
      <x:c r="Q68" s="61"/>
    </x:row>
    <x:row r="69">
      <x:c r="A69" s="61"/>
      <x:c r="B69" s="84"/>
      <x:c r="C69" s="61"/>
      <x:c r="D69" s="61"/>
      <x:c r="E69" s="64"/>
      <x:c r="F69" s="64"/>
      <x:c r="G69" s="64"/>
      <x:c r="H69" s="61"/>
      <x:c r="I69" s="61"/>
      <x:c r="J69" s="61"/>
      <x:c r="K69" s="84"/>
      <x:c r="L69" s="61"/>
      <x:c r="M69" s="61"/>
      <x:c r="N69" s="64"/>
      <x:c r="O69" s="61"/>
      <x:c r="P69" s="61"/>
      <x:c r="Q69" s="61"/>
    </x:row>
    <x:row r="70">
      <x:c r="A70" s="61"/>
      <x:c r="B70" s="84"/>
      <x:c r="C70" s="61"/>
      <x:c r="D70" s="61"/>
      <x:c r="E70" s="64"/>
      <x:c r="F70" s="64"/>
      <x:c r="G70" s="64"/>
      <x:c r="H70" s="61"/>
      <x:c r="I70" s="61"/>
      <x:c r="J70" s="61"/>
      <x:c r="K70" s="84"/>
      <x:c r="L70" s="61"/>
      <x:c r="M70" s="61"/>
      <x:c r="N70" s="64"/>
      <x:c r="O70" s="61"/>
      <x:c r="P70" s="61"/>
      <x:c r="Q70" s="61"/>
    </x:row>
    <x:row r="71">
      <x:c r="A71" s="61"/>
      <x:c r="B71" s="84"/>
      <x:c r="C71" s="61"/>
      <x:c r="D71" s="61"/>
      <x:c r="E71" s="64"/>
      <x:c r="F71" s="64"/>
      <x:c r="G71" s="64"/>
      <x:c r="H71" s="61"/>
      <x:c r="I71" s="61"/>
      <x:c r="J71" s="61"/>
      <x:c r="K71" s="84"/>
      <x:c r="L71" s="61"/>
      <x:c r="M71" s="61"/>
      <x:c r="N71" s="64"/>
      <x:c r="O71" s="61"/>
      <x:c r="P71" s="61"/>
      <x:c r="Q71" s="61"/>
    </x:row>
    <x:row r="72">
      <x:c r="A72" s="61"/>
      <x:c r="B72" s="84"/>
      <x:c r="C72" s="61"/>
      <x:c r="D72" s="61"/>
      <x:c r="E72" s="64"/>
      <x:c r="F72" s="64"/>
      <x:c r="G72" s="64"/>
      <x:c r="H72" s="61"/>
      <x:c r="I72" s="61"/>
      <x:c r="J72" s="61"/>
      <x:c r="K72" s="84"/>
      <x:c r="L72" s="61"/>
      <x:c r="M72" s="61"/>
      <x:c r="N72" s="64"/>
      <x:c r="O72" s="61"/>
      <x:c r="P72" s="61"/>
      <x:c r="Q72" s="61"/>
    </x:row>
    <x:row r="73">
      <x:c r="A73" s="61"/>
      <x:c r="B73" s="84"/>
      <x:c r="C73" s="61"/>
      <x:c r="D73" s="61"/>
      <x:c r="E73" s="64"/>
      <x:c r="F73" s="64"/>
      <x:c r="G73" s="64"/>
      <x:c r="H73" s="61"/>
      <x:c r="I73" s="61"/>
      <x:c r="J73" s="61"/>
      <x:c r="K73" s="84"/>
      <x:c r="L73" s="61"/>
      <x:c r="M73" s="61"/>
      <x:c r="N73" s="64"/>
      <x:c r="O73" s="61"/>
      <x:c r="P73" s="61"/>
      <x:c r="Q73" s="61"/>
    </x:row>
    <x:row r="74">
      <x:c r="A74" s="61"/>
      <x:c r="B74" s="84"/>
      <x:c r="C74" s="61"/>
      <x:c r="D74" s="61"/>
      <x:c r="E74" s="64"/>
      <x:c r="F74" s="64"/>
      <x:c r="G74" s="64"/>
      <x:c r="H74" s="61"/>
      <x:c r="I74" s="61"/>
      <x:c r="J74" s="61"/>
      <x:c r="K74" s="84"/>
      <x:c r="L74" s="61"/>
      <x:c r="M74" s="61"/>
      <x:c r="N74" s="64"/>
      <x:c r="O74" s="61"/>
      <x:c r="P74" s="61"/>
      <x:c r="Q74" s="61"/>
    </x:row>
    <x:row r="75">
      <x:c r="A75" s="61"/>
      <x:c r="B75" s="84"/>
      <x:c r="C75" s="61"/>
      <x:c r="D75" s="61"/>
      <x:c r="E75" s="64"/>
      <x:c r="F75" s="64"/>
      <x:c r="G75" s="64"/>
      <x:c r="H75" s="61"/>
      <x:c r="I75" s="61"/>
      <x:c r="J75" s="61"/>
      <x:c r="K75" s="84"/>
      <x:c r="L75" s="61"/>
      <x:c r="M75" s="61"/>
      <x:c r="N75" s="64"/>
      <x:c r="O75" s="61"/>
      <x:c r="P75" s="61"/>
      <x:c r="Q75" s="61"/>
    </x:row>
    <x:row r="76">
      <x:c r="A76" s="61"/>
      <x:c r="B76" s="84"/>
      <x:c r="C76" s="61"/>
      <x:c r="D76" s="61"/>
      <x:c r="E76" s="64"/>
      <x:c r="F76" s="64"/>
      <x:c r="G76" s="64"/>
      <x:c r="H76" s="61"/>
      <x:c r="I76" s="61"/>
      <x:c r="J76" s="61"/>
      <x:c r="K76" s="84"/>
      <x:c r="L76" s="61"/>
      <x:c r="M76" s="61"/>
      <x:c r="N76" s="64"/>
      <x:c r="O76" s="61"/>
      <x:c r="P76" s="61"/>
      <x:c r="Q76" s="61"/>
    </x:row>
    <x:row r="77">
      <x:c r="A77" s="61"/>
      <x:c r="B77" s="84"/>
      <x:c r="C77" s="61"/>
      <x:c r="D77" s="61"/>
      <x:c r="E77" s="64"/>
      <x:c r="F77" s="64"/>
      <x:c r="G77" s="64"/>
      <x:c r="H77" s="61"/>
      <x:c r="I77" s="61"/>
      <x:c r="J77" s="61"/>
      <x:c r="K77" s="84"/>
      <x:c r="L77" s="61"/>
      <x:c r="M77" s="61"/>
      <x:c r="N77" s="64"/>
      <x:c r="O77" s="61"/>
      <x:c r="P77" s="61"/>
      <x:c r="Q77" s="61"/>
    </x:row>
    <x:row r="78">
      <x:c r="A78" s="61"/>
      <x:c r="B78" s="84"/>
      <x:c r="C78" s="61"/>
      <x:c r="D78" s="61"/>
      <x:c r="E78" s="64"/>
      <x:c r="F78" s="64"/>
      <x:c r="G78" s="64"/>
      <x:c r="H78" s="61"/>
      <x:c r="I78" s="61"/>
      <x:c r="J78" s="61"/>
      <x:c r="K78" s="84"/>
      <x:c r="L78" s="61"/>
      <x:c r="M78" s="61"/>
      <x:c r="N78" s="64"/>
      <x:c r="O78" s="61"/>
      <x:c r="P78" s="61"/>
      <x:c r="Q78" s="61"/>
    </x:row>
    <x:row r="79">
      <x:c r="A79" s="61"/>
      <x:c r="B79" s="84"/>
      <x:c r="C79" s="61"/>
      <x:c r="D79" s="61"/>
      <x:c r="E79" s="64"/>
      <x:c r="F79" s="64"/>
      <x:c r="G79" s="64"/>
      <x:c r="H79" s="61"/>
      <x:c r="I79" s="61"/>
      <x:c r="J79" s="61"/>
      <x:c r="K79" s="84"/>
      <x:c r="L79" s="61"/>
      <x:c r="M79" s="61"/>
      <x:c r="N79" s="64"/>
      <x:c r="O79" s="61"/>
      <x:c r="P79" s="61"/>
      <x:c r="Q79" s="61"/>
    </x:row>
    <x:row r="80">
      <x:c r="A80" s="61"/>
      <x:c r="B80" s="84"/>
      <x:c r="C80" s="61"/>
      <x:c r="D80" s="61"/>
      <x:c r="E80" s="64"/>
      <x:c r="F80" s="64"/>
      <x:c r="G80" s="64"/>
      <x:c r="H80" s="61"/>
      <x:c r="I80" s="61"/>
      <x:c r="J80" s="61"/>
      <x:c r="K80" s="84"/>
      <x:c r="L80" s="61"/>
      <x:c r="M80" s="61"/>
      <x:c r="N80" s="64"/>
      <x:c r="O80" s="61"/>
      <x:c r="P80" s="61"/>
      <x:c r="Q80" s="61"/>
    </x:row>
    <x:row r="81">
      <x:c r="A81" s="61"/>
      <x:c r="B81" s="84"/>
      <x:c r="C81" s="61"/>
      <x:c r="D81" s="61"/>
      <x:c r="E81" s="64"/>
      <x:c r="F81" s="64"/>
      <x:c r="G81" s="64"/>
      <x:c r="H81" s="61"/>
      <x:c r="I81" s="61"/>
      <x:c r="J81" s="61"/>
      <x:c r="K81" s="84"/>
      <x:c r="L81" s="61"/>
      <x:c r="M81" s="61"/>
      <x:c r="N81" s="64"/>
      <x:c r="O81" s="61"/>
      <x:c r="P81" s="61"/>
      <x:c r="Q81" s="61"/>
    </x:row>
    <x:row r="82">
      <x:c r="A82" s="61"/>
      <x:c r="B82" s="84"/>
      <x:c r="C82" s="61"/>
      <x:c r="D82" s="61"/>
      <x:c r="E82" s="64"/>
      <x:c r="F82" s="64"/>
      <x:c r="G82" s="64"/>
      <x:c r="H82" s="61"/>
      <x:c r="I82" s="61"/>
      <x:c r="J82" s="61"/>
      <x:c r="K82" s="84"/>
      <x:c r="L82" s="61"/>
      <x:c r="M82" s="61"/>
      <x:c r="N82" s="64"/>
      <x:c r="O82" s="61"/>
      <x:c r="P82" s="61"/>
      <x:c r="Q82" s="61"/>
    </x:row>
    <x:row r="83">
      <x:c r="A83" s="61"/>
      <x:c r="B83" s="84"/>
      <x:c r="C83" s="61"/>
      <x:c r="D83" s="61"/>
      <x:c r="E83" s="64"/>
      <x:c r="F83" s="64"/>
      <x:c r="G83" s="64"/>
      <x:c r="H83" s="61"/>
      <x:c r="I83" s="61"/>
      <x:c r="J83" s="61"/>
      <x:c r="K83" s="84"/>
      <x:c r="L83" s="61"/>
      <x:c r="M83" s="61"/>
      <x:c r="N83" s="64"/>
      <x:c r="O83" s="61"/>
      <x:c r="P83" s="61"/>
      <x:c r="Q83" s="61"/>
    </x:row>
    <x:row r="84">
      <x:c r="A84" s="61"/>
      <x:c r="B84" s="84"/>
      <x:c r="C84" s="61"/>
      <x:c r="D84" s="61"/>
      <x:c r="E84" s="64"/>
      <x:c r="F84" s="64"/>
      <x:c r="G84" s="64"/>
      <x:c r="H84" s="61"/>
      <x:c r="I84" s="61"/>
      <x:c r="J84" s="61"/>
      <x:c r="K84" s="84"/>
      <x:c r="L84" s="61"/>
      <x:c r="M84" s="61"/>
      <x:c r="N84" s="64"/>
      <x:c r="O84" s="61"/>
      <x:c r="P84" s="61"/>
      <x:c r="Q84" s="61"/>
    </x:row>
    <x:row r="85">
      <x:c r="A85" s="61"/>
      <x:c r="B85" s="84"/>
      <x:c r="C85" s="61"/>
      <x:c r="D85" s="61"/>
      <x:c r="E85" s="64"/>
      <x:c r="F85" s="64"/>
      <x:c r="G85" s="64"/>
      <x:c r="H85" s="61"/>
      <x:c r="I85" s="61"/>
      <x:c r="J85" s="61"/>
      <x:c r="K85" s="84"/>
      <x:c r="L85" s="61"/>
      <x:c r="M85" s="61"/>
      <x:c r="N85" s="64"/>
      <x:c r="O85" s="61"/>
      <x:c r="P85" s="61"/>
      <x:c r="Q85" s="61"/>
    </x:row>
    <x:row r="86">
      <x:c r="A86" s="61"/>
      <x:c r="B86" s="84"/>
      <x:c r="C86" s="61"/>
      <x:c r="D86" s="61"/>
      <x:c r="E86" s="64"/>
      <x:c r="F86" s="64"/>
      <x:c r="G86" s="64"/>
      <x:c r="H86" s="61"/>
      <x:c r="I86" s="61"/>
      <x:c r="J86" s="61"/>
      <x:c r="K86" s="84"/>
      <x:c r="L86" s="61"/>
      <x:c r="M86" s="61"/>
      <x:c r="N86" s="64"/>
      <x:c r="O86" s="61"/>
      <x:c r="P86" s="61"/>
      <x:c r="Q86" s="61"/>
    </x:row>
    <x:row r="87">
      <x:c r="A87" s="61"/>
      <x:c r="B87" s="84"/>
      <x:c r="C87" s="61"/>
      <x:c r="D87" s="61"/>
      <x:c r="E87" s="64"/>
      <x:c r="F87" s="64"/>
      <x:c r="G87" s="64"/>
      <x:c r="H87" s="61"/>
      <x:c r="I87" s="61"/>
      <x:c r="J87" s="61"/>
      <x:c r="K87" s="84"/>
      <x:c r="L87" s="61"/>
      <x:c r="M87" s="61"/>
      <x:c r="N87" s="64"/>
      <x:c r="O87" s="61"/>
      <x:c r="P87" s="61"/>
      <x:c r="Q87" s="61"/>
    </x:row>
    <x:row r="88">
      <x:c r="A88" s="61"/>
      <x:c r="B88" s="84"/>
      <x:c r="C88" s="61"/>
      <x:c r="D88" s="61"/>
      <x:c r="E88" s="64"/>
      <x:c r="F88" s="64"/>
      <x:c r="G88" s="64"/>
      <x:c r="H88" s="61"/>
      <x:c r="I88" s="61"/>
      <x:c r="J88" s="61"/>
      <x:c r="K88" s="84"/>
      <x:c r="L88" s="61"/>
      <x:c r="M88" s="61"/>
      <x:c r="N88" s="64"/>
      <x:c r="O88" s="61"/>
      <x:c r="P88" s="61"/>
      <x:c r="Q88" s="61"/>
    </x:row>
    <x:row r="89">
      <x:c r="A89" s="61"/>
      <x:c r="B89" s="84"/>
      <x:c r="C89" s="61"/>
      <x:c r="D89" s="61"/>
      <x:c r="E89" s="64"/>
      <x:c r="F89" s="64"/>
      <x:c r="G89" s="64"/>
      <x:c r="H89" s="61"/>
      <x:c r="I89" s="61"/>
      <x:c r="J89" s="61"/>
      <x:c r="K89" s="84"/>
      <x:c r="L89" s="61"/>
      <x:c r="M89" s="61"/>
      <x:c r="N89" s="64"/>
      <x:c r="O89" s="61"/>
      <x:c r="P89" s="61"/>
      <x:c r="Q89" s="61"/>
    </x:row>
    <x:row r="90">
      <x:c r="A90" s="61"/>
      <x:c r="B90" s="84"/>
      <x:c r="C90" s="61"/>
      <x:c r="D90" s="61"/>
      <x:c r="E90" s="64"/>
      <x:c r="F90" s="64"/>
      <x:c r="G90" s="64"/>
      <x:c r="H90" s="61"/>
      <x:c r="I90" s="61"/>
      <x:c r="J90" s="61"/>
      <x:c r="K90" s="84"/>
      <x:c r="L90" s="61"/>
      <x:c r="M90" s="61"/>
      <x:c r="N90" s="64"/>
      <x:c r="O90" s="61"/>
      <x:c r="P90" s="61"/>
      <x:c r="Q90" s="61"/>
    </x:row>
    <x:row r="91">
      <x:c r="A91" s="61"/>
      <x:c r="B91" s="84"/>
      <x:c r="C91" s="61"/>
      <x:c r="D91" s="61"/>
      <x:c r="E91" s="64"/>
      <x:c r="F91" s="64"/>
      <x:c r="G91" s="64"/>
      <x:c r="H91" s="61"/>
      <x:c r="I91" s="61"/>
      <x:c r="J91" s="61"/>
      <x:c r="K91" s="84"/>
      <x:c r="L91" s="61"/>
      <x:c r="M91" s="61"/>
      <x:c r="N91" s="64"/>
      <x:c r="O91" s="61"/>
      <x:c r="P91" s="61"/>
      <x:c r="Q91" s="61"/>
    </x:row>
    <x:row r="92">
      <x:c r="A92" s="61"/>
      <x:c r="B92" s="84"/>
      <x:c r="C92" s="61"/>
      <x:c r="D92" s="61"/>
      <x:c r="E92" s="64"/>
      <x:c r="F92" s="64"/>
      <x:c r="G92" s="64"/>
      <x:c r="H92" s="61"/>
      <x:c r="I92" s="61"/>
      <x:c r="J92" s="61"/>
      <x:c r="K92" s="84"/>
      <x:c r="L92" s="61"/>
      <x:c r="M92" s="61"/>
      <x:c r="N92" s="64"/>
      <x:c r="O92" s="61"/>
      <x:c r="P92" s="61"/>
      <x:c r="Q92" s="61"/>
    </x:row>
    <x:row r="93">
      <x:c r="A93" s="61"/>
      <x:c r="B93" s="84"/>
      <x:c r="C93" s="61"/>
      <x:c r="D93" s="61"/>
      <x:c r="E93" s="64"/>
      <x:c r="F93" s="64"/>
      <x:c r="G93" s="64"/>
      <x:c r="H93" s="61"/>
      <x:c r="I93" s="61"/>
      <x:c r="J93" s="61"/>
      <x:c r="K93" s="84"/>
      <x:c r="L93" s="61"/>
      <x:c r="M93" s="61"/>
      <x:c r="N93" s="64"/>
      <x:c r="O93" s="61"/>
      <x:c r="P93" s="61"/>
      <x:c r="Q93" s="61"/>
    </x:row>
    <x:row r="94">
      <x:c r="A94" s="61"/>
      <x:c r="B94" s="84"/>
      <x:c r="C94" s="61"/>
      <x:c r="D94" s="61"/>
      <x:c r="E94" s="64"/>
      <x:c r="F94" s="64"/>
      <x:c r="G94" s="64"/>
      <x:c r="H94" s="61"/>
      <x:c r="I94" s="61"/>
      <x:c r="J94" s="61"/>
      <x:c r="K94" s="84"/>
      <x:c r="L94" s="61"/>
      <x:c r="M94" s="61"/>
      <x:c r="N94" s="64"/>
      <x:c r="O94" s="61"/>
      <x:c r="P94" s="61"/>
      <x:c r="Q94" s="61"/>
    </x:row>
    <x:row r="95">
      <x:c r="A95" s="61"/>
      <x:c r="B95" s="84"/>
      <x:c r="C95" s="61"/>
      <x:c r="D95" s="61"/>
      <x:c r="E95" s="64"/>
      <x:c r="F95" s="64"/>
      <x:c r="G95" s="64"/>
      <x:c r="H95" s="61"/>
      <x:c r="I95" s="61"/>
      <x:c r="J95" s="61"/>
      <x:c r="K95" s="84"/>
      <x:c r="L95" s="61"/>
      <x:c r="M95" s="61"/>
      <x:c r="N95" s="64"/>
      <x:c r="O95" s="61"/>
      <x:c r="P95" s="61"/>
      <x:c r="Q95" s="61"/>
    </x:row>
    <x:row r="96">
      <x:c r="A96" s="61"/>
      <x:c r="B96" s="84"/>
      <x:c r="C96" s="61"/>
      <x:c r="D96" s="61"/>
      <x:c r="E96" s="64"/>
      <x:c r="F96" s="64"/>
      <x:c r="G96" s="64"/>
      <x:c r="H96" s="61"/>
      <x:c r="I96" s="61"/>
      <x:c r="J96" s="61"/>
      <x:c r="K96" s="84"/>
      <x:c r="L96" s="61"/>
      <x:c r="M96" s="61"/>
      <x:c r="N96" s="64"/>
      <x:c r="O96" s="61"/>
      <x:c r="P96" s="61"/>
      <x:c r="Q96" s="61"/>
    </x:row>
    <x:row r="97">
      <x:c r="A97" s="61"/>
      <x:c r="B97" s="84"/>
      <x:c r="C97" s="61"/>
      <x:c r="D97" s="61"/>
      <x:c r="E97" s="64"/>
      <x:c r="F97" s="64"/>
      <x:c r="G97" s="64"/>
      <x:c r="H97" s="61"/>
      <x:c r="I97" s="61"/>
      <x:c r="J97" s="61"/>
      <x:c r="K97" s="84"/>
      <x:c r="L97" s="61"/>
      <x:c r="M97" s="61"/>
      <x:c r="N97" s="64"/>
      <x:c r="O97" s="61"/>
      <x:c r="P97" s="61"/>
      <x:c r="Q97" s="61"/>
    </x:row>
    <x:row r="98">
      <x:c r="A98" s="61"/>
      <x:c r="B98" s="84"/>
      <x:c r="C98" s="61"/>
      <x:c r="D98" s="61"/>
      <x:c r="E98" s="64"/>
      <x:c r="F98" s="64"/>
      <x:c r="G98" s="64"/>
      <x:c r="H98" s="61"/>
      <x:c r="I98" s="61"/>
      <x:c r="J98" s="61"/>
      <x:c r="K98" s="84"/>
      <x:c r="L98" s="61"/>
      <x:c r="M98" s="61"/>
      <x:c r="N98" s="64"/>
      <x:c r="O98" s="61"/>
      <x:c r="P98" s="61"/>
      <x:c r="Q98" s="61"/>
    </x:row>
    <x:row r="99">
      <x:c r="A99" s="61"/>
      <x:c r="B99" s="84"/>
      <x:c r="C99" s="61"/>
      <x:c r="D99" s="61"/>
      <x:c r="E99" s="64"/>
      <x:c r="F99" s="64"/>
      <x:c r="G99" s="64"/>
      <x:c r="H99" s="61"/>
      <x:c r="I99" s="61"/>
      <x:c r="J99" s="61"/>
      <x:c r="K99" s="84"/>
      <x:c r="L99" s="61"/>
      <x:c r="M99" s="61"/>
      <x:c r="N99" s="64"/>
      <x:c r="O99" s="61"/>
      <x:c r="P99" s="61"/>
      <x:c r="Q99" s="61"/>
    </x:row>
    <x:row r="100">
      <x:c r="A100" s="61"/>
      <x:c r="B100" s="84"/>
      <x:c r="C100" s="61"/>
      <x:c r="D100" s="61"/>
      <x:c r="E100" s="64"/>
      <x:c r="F100" s="64"/>
      <x:c r="G100" s="64"/>
      <x:c r="H100" s="61"/>
      <x:c r="I100" s="61"/>
      <x:c r="J100" s="61"/>
      <x:c r="K100" s="84"/>
      <x:c r="L100" s="61"/>
      <x:c r="M100" s="61"/>
      <x:c r="N100" s="64"/>
      <x:c r="O100" s="61"/>
      <x:c r="P100" s="61"/>
      <x:c r="Q100" s="61"/>
    </x:row>
    <x:row r="101">
      <x:c r="A101" s="61"/>
      <x:c r="B101" s="84"/>
      <x:c r="C101" s="61"/>
      <x:c r="D101" s="61"/>
      <x:c r="E101" s="64"/>
      <x:c r="F101" s="64"/>
      <x:c r="G101" s="64"/>
      <x:c r="H101" s="61"/>
      <x:c r="I101" s="61"/>
      <x:c r="J101" s="61"/>
      <x:c r="K101" s="84"/>
      <x:c r="L101" s="61"/>
      <x:c r="M101" s="61"/>
      <x:c r="N101" s="64"/>
      <x:c r="O101" s="61"/>
      <x:c r="P101" s="61"/>
      <x:c r="Q101" s="61"/>
    </x:row>
    <x:row r="102">
      <x:c r="A102" s="61"/>
      <x:c r="B102" s="84"/>
      <x:c r="C102" s="61"/>
      <x:c r="D102" s="61"/>
      <x:c r="E102" s="64"/>
      <x:c r="F102" s="64"/>
      <x:c r="G102" s="64"/>
      <x:c r="H102" s="61"/>
      <x:c r="I102" s="61"/>
      <x:c r="J102" s="61"/>
      <x:c r="K102" s="84"/>
      <x:c r="L102" s="61"/>
      <x:c r="M102" s="61"/>
      <x:c r="N102" s="64"/>
      <x:c r="O102" s="61"/>
      <x:c r="P102" s="61"/>
      <x:c r="Q102" s="61"/>
    </x:row>
    <x:row r="103">
      <x:c r="A103" s="61"/>
      <x:c r="B103" s="84"/>
      <x:c r="C103" s="61"/>
      <x:c r="D103" s="61"/>
      <x:c r="E103" s="64"/>
      <x:c r="F103" s="64"/>
      <x:c r="G103" s="64"/>
      <x:c r="H103" s="61"/>
      <x:c r="I103" s="61"/>
      <x:c r="J103" s="61"/>
      <x:c r="K103" s="84"/>
      <x:c r="L103" s="61"/>
      <x:c r="M103" s="61"/>
      <x:c r="N103" s="64"/>
      <x:c r="O103" s="61"/>
      <x:c r="P103" s="61"/>
      <x:c r="Q103" s="61"/>
    </x:row>
    <x:row r="104">
      <x:c r="A104" s="61"/>
      <x:c r="B104" s="84"/>
      <x:c r="C104" s="61"/>
      <x:c r="D104" s="61"/>
      <x:c r="E104" s="64"/>
      <x:c r="F104" s="64"/>
      <x:c r="G104" s="64"/>
      <x:c r="H104" s="61"/>
      <x:c r="I104" s="61"/>
      <x:c r="J104" s="61"/>
      <x:c r="K104" s="84"/>
      <x:c r="L104" s="61"/>
      <x:c r="M104" s="61"/>
      <x:c r="N104" s="64"/>
      <x:c r="O104" s="61"/>
      <x:c r="P104" s="61"/>
      <x:c r="Q104" s="61"/>
    </x:row>
    <x:row r="105">
      <x:c r="A105" s="61"/>
      <x:c r="B105" s="84"/>
      <x:c r="C105" s="61"/>
      <x:c r="D105" s="61"/>
      <x:c r="E105" s="64"/>
      <x:c r="F105" s="64"/>
      <x:c r="G105" s="64"/>
      <x:c r="H105" s="61"/>
      <x:c r="I105" s="61"/>
      <x:c r="J105" s="61"/>
      <x:c r="K105" s="84"/>
      <x:c r="L105" s="61"/>
      <x:c r="M105" s="61"/>
      <x:c r="N105" s="64"/>
      <x:c r="O105" s="61"/>
      <x:c r="P105" s="61"/>
      <x:c r="Q105" s="61"/>
    </x:row>
    <x:row r="106">
      <x:c r="A106" s="61"/>
      <x:c r="B106" s="84"/>
      <x:c r="C106" s="61"/>
      <x:c r="D106" s="61"/>
      <x:c r="E106" s="64"/>
      <x:c r="F106" s="64"/>
      <x:c r="G106" s="64"/>
      <x:c r="H106" s="61"/>
      <x:c r="I106" s="61"/>
      <x:c r="J106" s="61"/>
      <x:c r="K106" s="84"/>
      <x:c r="L106" s="61"/>
      <x:c r="M106" s="61"/>
      <x:c r="N106" s="64"/>
      <x:c r="O106" s="61"/>
      <x:c r="P106" s="61"/>
      <x:c r="Q106" s="61"/>
    </x:row>
    <x:row r="107">
      <x:c r="A107" s="61"/>
      <x:c r="B107" s="84"/>
      <x:c r="C107" s="61"/>
      <x:c r="D107" s="61"/>
      <x:c r="E107" s="64"/>
      <x:c r="F107" s="64"/>
      <x:c r="G107" s="64"/>
      <x:c r="H107" s="61"/>
      <x:c r="I107" s="61"/>
      <x:c r="J107" s="61"/>
      <x:c r="K107" s="84"/>
      <x:c r="L107" s="61"/>
      <x:c r="M107" s="61"/>
      <x:c r="N107" s="64"/>
      <x:c r="O107" s="61"/>
      <x:c r="P107" s="61"/>
      <x:c r="Q107" s="61"/>
    </x:row>
    <x:row r="108">
      <x:c r="A108" s="61"/>
      <x:c r="B108" s="84"/>
      <x:c r="C108" s="61"/>
      <x:c r="D108" s="61"/>
      <x:c r="E108" s="64"/>
      <x:c r="F108" s="64"/>
      <x:c r="G108" s="64"/>
      <x:c r="H108" s="61"/>
      <x:c r="I108" s="61"/>
      <x:c r="J108" s="61"/>
      <x:c r="K108" s="84"/>
      <x:c r="L108" s="61"/>
      <x:c r="M108" s="61"/>
      <x:c r="N108" s="64"/>
      <x:c r="O108" s="61"/>
      <x:c r="P108" s="61"/>
      <x:c r="Q108" s="61"/>
    </x:row>
    <x:row r="109">
      <x:c r="A109" s="61"/>
      <x:c r="B109" s="84"/>
      <x:c r="C109" s="61"/>
      <x:c r="D109" s="61"/>
      <x:c r="E109" s="64"/>
      <x:c r="F109" s="64"/>
      <x:c r="G109" s="64"/>
      <x:c r="H109" s="61"/>
      <x:c r="I109" s="61"/>
      <x:c r="J109" s="61"/>
      <x:c r="K109" s="84"/>
      <x:c r="L109" s="61"/>
      <x:c r="M109" s="61"/>
      <x:c r="N109" s="64"/>
      <x:c r="O109" s="61"/>
      <x:c r="P109" s="61"/>
      <x:c r="Q109" s="61"/>
    </x:row>
    <x:row r="110">
      <x:c r="A110" s="61"/>
      <x:c r="B110" s="84"/>
      <x:c r="C110" s="61"/>
      <x:c r="D110" s="61"/>
      <x:c r="E110" s="64"/>
      <x:c r="F110" s="64"/>
      <x:c r="G110" s="64"/>
      <x:c r="H110" s="61"/>
      <x:c r="I110" s="61"/>
      <x:c r="J110" s="61"/>
      <x:c r="K110" s="84"/>
      <x:c r="L110" s="61"/>
      <x:c r="M110" s="61"/>
      <x:c r="N110" s="64"/>
      <x:c r="O110" s="61"/>
      <x:c r="P110" s="61"/>
      <x:c r="Q110" s="61"/>
    </x:row>
    <x:row r="111">
      <x:c r="A111" s="61"/>
      <x:c r="B111" s="84"/>
      <x:c r="C111" s="61"/>
      <x:c r="D111" s="61"/>
      <x:c r="E111" s="64"/>
      <x:c r="F111" s="64"/>
      <x:c r="G111" s="64"/>
      <x:c r="H111" s="61"/>
      <x:c r="I111" s="61"/>
      <x:c r="J111" s="61"/>
      <x:c r="K111" s="84"/>
      <x:c r="L111" s="61"/>
      <x:c r="M111" s="61"/>
      <x:c r="N111" s="64"/>
      <x:c r="O111" s="61"/>
      <x:c r="P111" s="61"/>
      <x:c r="Q111" s="61"/>
    </x:row>
    <x:row r="112">
      <x:c r="A112" s="61"/>
      <x:c r="B112" s="84"/>
      <x:c r="C112" s="61"/>
      <x:c r="D112" s="61"/>
      <x:c r="E112" s="64"/>
      <x:c r="F112" s="64"/>
      <x:c r="G112" s="64"/>
      <x:c r="H112" s="61"/>
      <x:c r="I112" s="61"/>
      <x:c r="J112" s="61"/>
      <x:c r="K112" s="84"/>
      <x:c r="L112" s="61"/>
      <x:c r="M112" s="61"/>
      <x:c r="N112" s="64"/>
      <x:c r="O112" s="61"/>
      <x:c r="P112" s="61"/>
      <x:c r="Q112" s="61"/>
    </x:row>
    <x:row r="113">
      <x:c r="A113" s="61"/>
      <x:c r="B113" s="84"/>
      <x:c r="C113" s="61"/>
      <x:c r="D113" s="61"/>
      <x:c r="E113" s="64"/>
      <x:c r="F113" s="64"/>
      <x:c r="G113" s="64"/>
      <x:c r="H113" s="61"/>
      <x:c r="I113" s="61"/>
      <x:c r="J113" s="61"/>
      <x:c r="K113" s="84"/>
      <x:c r="L113" s="61"/>
      <x:c r="M113" s="61"/>
      <x:c r="N113" s="64"/>
      <x:c r="O113" s="61"/>
      <x:c r="P113" s="61"/>
      <x:c r="Q113" s="61"/>
    </x:row>
    <x:row r="114">
      <x:c r="A114" s="61"/>
      <x:c r="B114" s="84"/>
      <x:c r="C114" s="61"/>
      <x:c r="D114" s="61"/>
      <x:c r="E114" s="64"/>
      <x:c r="F114" s="64"/>
      <x:c r="G114" s="64"/>
      <x:c r="H114" s="61"/>
      <x:c r="I114" s="61"/>
      <x:c r="J114" s="61"/>
      <x:c r="K114" s="84"/>
      <x:c r="L114" s="61"/>
      <x:c r="M114" s="61"/>
      <x:c r="N114" s="64"/>
      <x:c r="O114" s="61"/>
      <x:c r="P114" s="61"/>
      <x:c r="Q114" s="61"/>
    </x:row>
    <x:row r="115">
      <x:c r="A115" s="61"/>
      <x:c r="B115" s="84"/>
      <x:c r="C115" s="61"/>
      <x:c r="D115" s="61"/>
      <x:c r="E115" s="64"/>
      <x:c r="F115" s="64"/>
      <x:c r="G115" s="64"/>
      <x:c r="H115" s="61"/>
      <x:c r="I115" s="61"/>
      <x:c r="J115" s="61"/>
      <x:c r="K115" s="84"/>
      <x:c r="L115" s="61"/>
      <x:c r="M115" s="61"/>
      <x:c r="N115" s="64"/>
      <x:c r="O115" s="61"/>
      <x:c r="P115" s="61"/>
      <x:c r="Q115" s="61"/>
    </x:row>
    <x:row r="116">
      <x:c r="A116" s="61"/>
      <x:c r="B116" s="84"/>
      <x:c r="C116" s="61"/>
      <x:c r="D116" s="61"/>
      <x:c r="E116" s="64"/>
      <x:c r="F116" s="64"/>
      <x:c r="G116" s="64"/>
      <x:c r="H116" s="61"/>
      <x:c r="I116" s="61"/>
      <x:c r="J116" s="61"/>
      <x:c r="K116" s="84"/>
      <x:c r="L116" s="61"/>
      <x:c r="M116" s="61"/>
      <x:c r="N116" s="64"/>
      <x:c r="O116" s="61"/>
      <x:c r="P116" s="61"/>
      <x:c r="Q116" s="61"/>
    </x:row>
    <x:row r="117">
      <x:c r="A117" s="61"/>
      <x:c r="B117" s="84"/>
      <x:c r="C117" s="61"/>
      <x:c r="D117" s="61"/>
      <x:c r="E117" s="64"/>
      <x:c r="F117" s="64"/>
      <x:c r="G117" s="64"/>
      <x:c r="H117" s="61"/>
      <x:c r="I117" s="61"/>
      <x:c r="J117" s="61"/>
      <x:c r="K117" s="84"/>
      <x:c r="L117" s="61"/>
      <x:c r="M117" s="61"/>
      <x:c r="N117" s="64"/>
      <x:c r="O117" s="61"/>
      <x:c r="P117" s="61"/>
      <x:c r="Q117" s="61"/>
    </x:row>
    <x:row r="118">
      <x:c r="A118" s="61"/>
      <x:c r="B118" s="84"/>
      <x:c r="C118" s="61"/>
      <x:c r="D118" s="61"/>
      <x:c r="E118" s="64"/>
      <x:c r="F118" s="64"/>
      <x:c r="G118" s="64"/>
      <x:c r="H118" s="61"/>
      <x:c r="I118" s="61"/>
      <x:c r="J118" s="61"/>
      <x:c r="K118" s="84"/>
      <x:c r="L118" s="61"/>
      <x:c r="M118" s="61"/>
      <x:c r="N118" s="64"/>
      <x:c r="O118" s="61"/>
      <x:c r="P118" s="61"/>
      <x:c r="Q118" s="61"/>
    </x:row>
    <x:row r="119">
      <x:c r="A119" s="61"/>
      <x:c r="B119" s="84"/>
      <x:c r="C119" s="61"/>
      <x:c r="D119" s="61"/>
      <x:c r="E119" s="64"/>
      <x:c r="F119" s="64"/>
      <x:c r="G119" s="64"/>
      <x:c r="H119" s="61"/>
      <x:c r="I119" s="61"/>
      <x:c r="J119" s="61"/>
      <x:c r="K119" s="84"/>
      <x:c r="L119" s="61"/>
      <x:c r="M119" s="61"/>
      <x:c r="N119" s="64"/>
      <x:c r="O119" s="61"/>
      <x:c r="P119" s="61"/>
      <x:c r="Q119" s="61"/>
    </x:row>
    <x:row r="120">
      <x:c r="A120" s="61"/>
      <x:c r="B120" s="84"/>
      <x:c r="C120" s="61"/>
      <x:c r="D120" s="61"/>
      <x:c r="E120" s="64"/>
      <x:c r="F120" s="64"/>
      <x:c r="G120" s="64"/>
      <x:c r="H120" s="61"/>
      <x:c r="I120" s="61"/>
      <x:c r="J120" s="61"/>
      <x:c r="K120" s="84"/>
      <x:c r="L120" s="61"/>
      <x:c r="M120" s="61"/>
      <x:c r="N120" s="64"/>
      <x:c r="O120" s="61"/>
      <x:c r="P120" s="61"/>
      <x:c r="Q120" s="61"/>
    </x:row>
    <x:row r="121">
      <x:c r="A121" s="61"/>
      <x:c r="B121" s="84"/>
      <x:c r="C121" s="61"/>
      <x:c r="D121" s="61"/>
      <x:c r="E121" s="64"/>
      <x:c r="F121" s="64"/>
      <x:c r="G121" s="64"/>
      <x:c r="H121" s="61"/>
      <x:c r="I121" s="61"/>
      <x:c r="J121" s="61"/>
      <x:c r="K121" s="84"/>
      <x:c r="L121" s="61"/>
      <x:c r="M121" s="61"/>
      <x:c r="N121" s="64"/>
      <x:c r="O121" s="61"/>
      <x:c r="P121" s="61"/>
      <x:c r="Q121" s="61"/>
    </x:row>
    <x:row r="122">
      <x:c r="A122" s="61"/>
      <x:c r="B122" s="84"/>
      <x:c r="C122" s="61"/>
      <x:c r="D122" s="61"/>
      <x:c r="E122" s="64"/>
      <x:c r="F122" s="64"/>
      <x:c r="G122" s="64"/>
      <x:c r="H122" s="61"/>
      <x:c r="I122" s="61"/>
      <x:c r="J122" s="61"/>
      <x:c r="K122" s="84"/>
      <x:c r="L122" s="61"/>
      <x:c r="M122" s="61"/>
      <x:c r="N122" s="64"/>
      <x:c r="O122" s="61"/>
      <x:c r="P122" s="61"/>
      <x:c r="Q122" s="61"/>
    </x:row>
    <x:row r="123">
      <x:c r="A123" s="61"/>
      <x:c r="B123" s="84"/>
      <x:c r="C123" s="61"/>
      <x:c r="D123" s="61"/>
      <x:c r="E123" s="64"/>
      <x:c r="F123" s="64"/>
      <x:c r="G123" s="64"/>
      <x:c r="H123" s="61"/>
      <x:c r="I123" s="61"/>
      <x:c r="J123" s="61"/>
      <x:c r="K123" s="84"/>
      <x:c r="L123" s="61"/>
      <x:c r="M123" s="61"/>
      <x:c r="N123" s="64"/>
      <x:c r="O123" s="61"/>
      <x:c r="P123" s="61"/>
      <x:c r="Q123" s="61"/>
    </x:row>
    <x:row r="124">
      <x:c r="A124" s="61"/>
      <x:c r="B124" s="84"/>
      <x:c r="C124" s="61"/>
      <x:c r="D124" s="61"/>
      <x:c r="E124" s="64"/>
      <x:c r="F124" s="64"/>
      <x:c r="G124" s="64"/>
      <x:c r="H124" s="61"/>
      <x:c r="I124" s="61"/>
      <x:c r="J124" s="61"/>
      <x:c r="K124" s="84"/>
      <x:c r="L124" s="61"/>
      <x:c r="M124" s="61"/>
      <x:c r="N124" s="64"/>
      <x:c r="O124" s="61"/>
      <x:c r="P124" s="61"/>
      <x:c r="Q124" s="61"/>
    </x:row>
    <x:row r="125">
      <x:c r="A125" s="61"/>
      <x:c r="B125" s="84"/>
      <x:c r="C125" s="61"/>
      <x:c r="D125" s="61"/>
      <x:c r="E125" s="64"/>
      <x:c r="F125" s="64"/>
      <x:c r="G125" s="64"/>
      <x:c r="H125" s="61"/>
      <x:c r="I125" s="61"/>
      <x:c r="J125" s="61"/>
      <x:c r="K125" s="84"/>
      <x:c r="L125" s="61"/>
      <x:c r="M125" s="61"/>
      <x:c r="N125" s="64"/>
      <x:c r="O125" s="61"/>
      <x:c r="P125" s="61"/>
      <x:c r="Q125" s="61"/>
    </x:row>
    <x:row r="126">
      <x:c r="A126" s="61"/>
      <x:c r="B126" s="84"/>
      <x:c r="C126" s="61"/>
      <x:c r="D126" s="61"/>
      <x:c r="E126" s="64"/>
      <x:c r="F126" s="64"/>
      <x:c r="G126" s="64"/>
      <x:c r="H126" s="61"/>
      <x:c r="I126" s="61"/>
      <x:c r="J126" s="61"/>
      <x:c r="K126" s="84"/>
      <x:c r="L126" s="61"/>
      <x:c r="M126" s="61"/>
      <x:c r="N126" s="64"/>
      <x:c r="O126" s="61"/>
      <x:c r="P126" s="61"/>
      <x:c r="Q126" s="61"/>
    </x:row>
    <x:row r="127">
      <x:c r="A127" s="61"/>
      <x:c r="B127" s="84"/>
      <x:c r="C127" s="61"/>
      <x:c r="D127" s="61"/>
      <x:c r="E127" s="64"/>
      <x:c r="F127" s="64"/>
      <x:c r="G127" s="64"/>
      <x:c r="H127" s="61"/>
      <x:c r="I127" s="61"/>
      <x:c r="J127" s="61"/>
      <x:c r="K127" s="84"/>
      <x:c r="L127" s="61"/>
      <x:c r="M127" s="61"/>
      <x:c r="N127" s="64"/>
      <x:c r="O127" s="61"/>
      <x:c r="P127" s="61"/>
      <x:c r="Q127" s="61"/>
    </x:row>
    <x:row r="128">
      <x:c r="A128" s="61"/>
      <x:c r="B128" s="84"/>
      <x:c r="C128" s="61"/>
      <x:c r="D128" s="61"/>
      <x:c r="E128" s="64"/>
      <x:c r="F128" s="64"/>
      <x:c r="G128" s="64"/>
      <x:c r="H128" s="61"/>
      <x:c r="I128" s="61"/>
      <x:c r="J128" s="61"/>
      <x:c r="K128" s="84"/>
      <x:c r="L128" s="61"/>
      <x:c r="M128" s="61"/>
      <x:c r="N128" s="64"/>
      <x:c r="O128" s="61"/>
      <x:c r="P128" s="61"/>
      <x:c r="Q128" s="61"/>
    </x:row>
    <x:row r="129">
      <x:c r="A129" s="61"/>
      <x:c r="B129" s="84"/>
      <x:c r="C129" s="61"/>
      <x:c r="D129" s="61"/>
      <x:c r="E129" s="64"/>
      <x:c r="F129" s="64"/>
      <x:c r="G129" s="64"/>
      <x:c r="H129" s="61"/>
      <x:c r="I129" s="61"/>
      <x:c r="J129" s="61"/>
      <x:c r="K129" s="84"/>
      <x:c r="L129" s="61"/>
      <x:c r="M129" s="61"/>
      <x:c r="N129" s="64"/>
      <x:c r="O129" s="61"/>
      <x:c r="P129" s="61"/>
      <x:c r="Q129" s="61"/>
    </x:row>
    <x:row r="130">
      <x:c r="A130" s="61"/>
      <x:c r="B130" s="84"/>
      <x:c r="C130" s="61"/>
      <x:c r="D130" s="61"/>
      <x:c r="E130" s="64"/>
      <x:c r="F130" s="64"/>
      <x:c r="G130" s="64"/>
      <x:c r="H130" s="61"/>
      <x:c r="I130" s="61"/>
      <x:c r="J130" s="61"/>
      <x:c r="K130" s="84"/>
      <x:c r="L130" s="61"/>
      <x:c r="M130" s="61"/>
      <x:c r="N130" s="64"/>
      <x:c r="O130" s="61"/>
      <x:c r="P130" s="61"/>
      <x:c r="Q130" s="61"/>
    </x:row>
    <x:row r="131">
      <x:c r="A131" s="61"/>
      <x:c r="B131" s="84"/>
      <x:c r="C131" s="61"/>
      <x:c r="D131" s="61"/>
      <x:c r="E131" s="64"/>
      <x:c r="F131" s="64"/>
      <x:c r="G131" s="64"/>
      <x:c r="H131" s="61"/>
      <x:c r="I131" s="61"/>
      <x:c r="J131" s="61"/>
      <x:c r="K131" s="84"/>
      <x:c r="L131" s="61"/>
      <x:c r="M131" s="61"/>
      <x:c r="N131" s="64"/>
      <x:c r="O131" s="61"/>
      <x:c r="P131" s="61"/>
      <x:c r="Q131" s="61"/>
    </x:row>
    <x:row r="132">
      <x:c r="A132" s="61"/>
      <x:c r="B132" s="84"/>
      <x:c r="C132" s="61"/>
      <x:c r="D132" s="61"/>
      <x:c r="E132" s="64"/>
      <x:c r="F132" s="64"/>
      <x:c r="G132" s="64"/>
      <x:c r="H132" s="61"/>
      <x:c r="I132" s="61"/>
      <x:c r="J132" s="61"/>
      <x:c r="K132" s="84"/>
      <x:c r="L132" s="61"/>
      <x:c r="M132" s="61"/>
      <x:c r="N132" s="64"/>
      <x:c r="O132" s="61"/>
      <x:c r="P132" s="61"/>
      <x:c r="Q132" s="61"/>
    </x:row>
    <x:row r="133">
      <x:c r="A133" s="61"/>
      <x:c r="B133" s="84"/>
      <x:c r="C133" s="61"/>
      <x:c r="D133" s="61"/>
      <x:c r="E133" s="64"/>
      <x:c r="F133" s="64"/>
      <x:c r="G133" s="64"/>
      <x:c r="H133" s="61"/>
      <x:c r="I133" s="61"/>
      <x:c r="J133" s="61"/>
      <x:c r="K133" s="84"/>
      <x:c r="L133" s="61"/>
      <x:c r="M133" s="61"/>
      <x:c r="N133" s="64"/>
      <x:c r="O133" s="61"/>
      <x:c r="P133" s="61"/>
      <x:c r="Q133" s="61"/>
    </x:row>
    <x:row r="134">
      <x:c r="A134" s="61"/>
      <x:c r="B134" s="84"/>
      <x:c r="C134" s="61"/>
      <x:c r="D134" s="61"/>
      <x:c r="E134" s="64"/>
      <x:c r="F134" s="64"/>
      <x:c r="G134" s="64"/>
      <x:c r="H134" s="61"/>
      <x:c r="I134" s="61"/>
      <x:c r="J134" s="61"/>
      <x:c r="K134" s="84"/>
      <x:c r="L134" s="61"/>
      <x:c r="M134" s="61"/>
      <x:c r="N134" s="64"/>
      <x:c r="O134" s="61"/>
      <x:c r="P134" s="61"/>
      <x:c r="Q134" s="61"/>
    </x:row>
    <x:row r="135">
      <x:c r="A135" s="61"/>
      <x:c r="B135" s="84"/>
      <x:c r="C135" s="61"/>
      <x:c r="D135" s="61"/>
      <x:c r="E135" s="64"/>
      <x:c r="F135" s="64"/>
      <x:c r="G135" s="64"/>
      <x:c r="H135" s="61"/>
      <x:c r="I135" s="61"/>
      <x:c r="J135" s="61"/>
      <x:c r="K135" s="84"/>
      <x:c r="L135" s="61"/>
      <x:c r="M135" s="61"/>
      <x:c r="N135" s="64"/>
      <x:c r="O135" s="61"/>
      <x:c r="P135" s="61"/>
      <x:c r="Q135" s="61"/>
    </x:row>
    <x:row r="136">
      <x:c r="A136" s="61"/>
      <x:c r="B136" s="84"/>
      <x:c r="C136" s="61"/>
      <x:c r="D136" s="61"/>
      <x:c r="E136" s="64"/>
      <x:c r="F136" s="64"/>
      <x:c r="G136" s="64"/>
      <x:c r="H136" s="61"/>
      <x:c r="I136" s="61"/>
      <x:c r="J136" s="61"/>
      <x:c r="K136" s="84"/>
      <x:c r="L136" s="61"/>
      <x:c r="M136" s="61"/>
      <x:c r="N136" s="64"/>
      <x:c r="O136" s="61"/>
      <x:c r="P136" s="61"/>
      <x:c r="Q136" s="61"/>
    </x:row>
    <x:row r="137">
      <x:c r="A137" s="61"/>
      <x:c r="B137" s="84"/>
      <x:c r="C137" s="61"/>
      <x:c r="D137" s="61"/>
      <x:c r="E137" s="64"/>
      <x:c r="F137" s="64"/>
      <x:c r="G137" s="64"/>
      <x:c r="H137" s="61"/>
      <x:c r="I137" s="61"/>
      <x:c r="J137" s="61"/>
      <x:c r="K137" s="84"/>
      <x:c r="L137" s="61"/>
      <x:c r="M137" s="61"/>
      <x:c r="N137" s="64"/>
      <x:c r="O137" s="61"/>
      <x:c r="P137" s="61"/>
      <x:c r="Q137" s="61"/>
    </x:row>
    <x:row r="138">
      <x:c r="A138" s="61"/>
      <x:c r="B138" s="84"/>
      <x:c r="C138" s="61"/>
      <x:c r="D138" s="61"/>
      <x:c r="E138" s="64"/>
      <x:c r="F138" s="64"/>
      <x:c r="G138" s="64"/>
      <x:c r="H138" s="61"/>
      <x:c r="I138" s="61"/>
      <x:c r="J138" s="61"/>
      <x:c r="K138" s="84"/>
      <x:c r="L138" s="61"/>
      <x:c r="M138" s="61"/>
      <x:c r="N138" s="64"/>
      <x:c r="O138" s="61"/>
      <x:c r="P138" s="61"/>
      <x:c r="Q138" s="61"/>
    </x:row>
    <x:row r="139">
      <x:c r="A139" s="61"/>
      <x:c r="B139" s="84"/>
      <x:c r="C139" s="61"/>
      <x:c r="D139" s="61"/>
      <x:c r="E139" s="64"/>
      <x:c r="F139" s="64"/>
      <x:c r="G139" s="64"/>
      <x:c r="H139" s="61"/>
      <x:c r="I139" s="61"/>
      <x:c r="J139" s="61"/>
      <x:c r="K139" s="84"/>
      <x:c r="L139" s="61"/>
      <x:c r="M139" s="61"/>
      <x:c r="N139" s="64"/>
      <x:c r="O139" s="61"/>
      <x:c r="P139" s="61"/>
      <x:c r="Q139" s="61"/>
    </x:row>
    <x:row r="140">
      <x:c r="A140" s="61"/>
      <x:c r="B140" s="84"/>
      <x:c r="C140" s="61"/>
      <x:c r="D140" s="61"/>
      <x:c r="E140" s="64"/>
      <x:c r="F140" s="64"/>
      <x:c r="G140" s="64"/>
      <x:c r="H140" s="61"/>
      <x:c r="I140" s="61"/>
      <x:c r="J140" s="61"/>
      <x:c r="K140" s="84"/>
      <x:c r="L140" s="61"/>
      <x:c r="M140" s="61"/>
      <x:c r="N140" s="64"/>
      <x:c r="O140" s="61"/>
      <x:c r="P140" s="61"/>
      <x:c r="Q140" s="61"/>
    </x:row>
    <x:row r="141">
      <x:c r="A141" s="61"/>
      <x:c r="B141" s="84"/>
      <x:c r="C141" s="61"/>
      <x:c r="D141" s="61"/>
      <x:c r="E141" s="64"/>
      <x:c r="F141" s="64"/>
      <x:c r="G141" s="64"/>
      <x:c r="H141" s="61"/>
      <x:c r="I141" s="61"/>
      <x:c r="J141" s="61"/>
      <x:c r="K141" s="84"/>
      <x:c r="L141" s="61"/>
      <x:c r="M141" s="61"/>
      <x:c r="N141" s="64"/>
      <x:c r="O141" s="61"/>
      <x:c r="P141" s="61"/>
      <x:c r="Q141" s="61"/>
    </x:row>
    <x:row r="142">
      <x:c r="A142" s="61"/>
      <x:c r="B142" s="84"/>
      <x:c r="C142" s="61"/>
      <x:c r="D142" s="61"/>
      <x:c r="E142" s="64"/>
      <x:c r="F142" s="64"/>
      <x:c r="G142" s="64"/>
      <x:c r="H142" s="61"/>
      <x:c r="I142" s="61"/>
      <x:c r="J142" s="61"/>
      <x:c r="K142" s="84"/>
      <x:c r="L142" s="61"/>
      <x:c r="M142" s="61"/>
      <x:c r="N142" s="64"/>
      <x:c r="O142" s="61"/>
      <x:c r="P142" s="61"/>
      <x:c r="Q142" s="61"/>
    </x:row>
    <x:row r="143">
      <x:c r="A143" s="61"/>
      <x:c r="B143" s="84"/>
      <x:c r="C143" s="61"/>
      <x:c r="D143" s="61"/>
      <x:c r="E143" s="64"/>
      <x:c r="F143" s="64"/>
      <x:c r="G143" s="64"/>
      <x:c r="H143" s="61"/>
      <x:c r="I143" s="61"/>
      <x:c r="J143" s="61"/>
      <x:c r="K143" s="84"/>
      <x:c r="L143" s="61"/>
      <x:c r="M143" s="61"/>
      <x:c r="N143" s="64"/>
      <x:c r="O143" s="61"/>
      <x:c r="P143" s="61"/>
      <x:c r="Q143" s="61"/>
    </x:row>
    <x:row r="144">
      <x:c r="A144" s="61"/>
      <x:c r="B144" s="84"/>
      <x:c r="C144" s="61"/>
      <x:c r="D144" s="61"/>
      <x:c r="E144" s="64"/>
      <x:c r="F144" s="64"/>
      <x:c r="G144" s="64"/>
      <x:c r="H144" s="61"/>
      <x:c r="I144" s="61"/>
      <x:c r="J144" s="61"/>
      <x:c r="K144" s="84"/>
      <x:c r="L144" s="61"/>
      <x:c r="M144" s="61"/>
      <x:c r="N144" s="64"/>
      <x:c r="O144" s="61"/>
      <x:c r="P144" s="61"/>
      <x:c r="Q144" s="61"/>
    </x:row>
    <x:row r="145">
      <x:c r="A145" s="61"/>
      <x:c r="B145" s="84"/>
      <x:c r="C145" s="61"/>
      <x:c r="D145" s="61"/>
      <x:c r="E145" s="64"/>
      <x:c r="F145" s="64"/>
      <x:c r="G145" s="64"/>
      <x:c r="H145" s="61"/>
      <x:c r="I145" s="61"/>
      <x:c r="J145" s="61"/>
      <x:c r="K145" s="84"/>
      <x:c r="L145" s="61"/>
      <x:c r="M145" s="61"/>
      <x:c r="N145" s="64"/>
      <x:c r="O145" s="61"/>
      <x:c r="P145" s="61"/>
      <x:c r="Q145" s="61"/>
    </x:row>
    <x:row r="146">
      <x:c r="A146" s="61"/>
      <x:c r="B146" s="84"/>
      <x:c r="C146" s="61"/>
      <x:c r="D146" s="61"/>
      <x:c r="E146" s="64"/>
      <x:c r="F146" s="64"/>
      <x:c r="G146" s="64"/>
      <x:c r="H146" s="61"/>
      <x:c r="I146" s="61"/>
      <x:c r="J146" s="61"/>
      <x:c r="K146" s="84"/>
      <x:c r="L146" s="61"/>
      <x:c r="M146" s="61"/>
      <x:c r="N146" s="64"/>
      <x:c r="O146" s="61"/>
      <x:c r="P146" s="61"/>
      <x:c r="Q146" s="61"/>
    </x:row>
    <x:row r="147">
      <x:c r="A147" s="61"/>
      <x:c r="B147" s="84"/>
      <x:c r="C147" s="61"/>
      <x:c r="D147" s="61"/>
      <x:c r="E147" s="64"/>
      <x:c r="F147" s="64"/>
      <x:c r="G147" s="64"/>
      <x:c r="H147" s="61"/>
      <x:c r="I147" s="61"/>
      <x:c r="J147" s="61"/>
      <x:c r="K147" s="84"/>
      <x:c r="L147" s="61"/>
      <x:c r="M147" s="61"/>
      <x:c r="N147" s="64"/>
      <x:c r="O147" s="61"/>
      <x:c r="P147" s="61"/>
      <x:c r="Q147" s="61"/>
    </x:row>
    <x:row r="148">
      <x:c r="A148" s="61"/>
      <x:c r="B148" s="84"/>
      <x:c r="C148" s="61"/>
      <x:c r="D148" s="61"/>
      <x:c r="E148" s="64"/>
      <x:c r="F148" s="64"/>
      <x:c r="G148" s="64"/>
      <x:c r="H148" s="61"/>
      <x:c r="I148" s="61"/>
      <x:c r="J148" s="61"/>
      <x:c r="K148" s="84"/>
      <x:c r="L148" s="61"/>
      <x:c r="M148" s="61"/>
      <x:c r="N148" s="64"/>
      <x:c r="O148" s="61"/>
      <x:c r="P148" s="61"/>
      <x:c r="Q148" s="61"/>
    </x:row>
    <x:row r="149">
      <x:c r="A149" s="61"/>
      <x:c r="B149" s="84"/>
      <x:c r="C149" s="61"/>
      <x:c r="D149" s="61"/>
      <x:c r="E149" s="64"/>
      <x:c r="F149" s="64"/>
      <x:c r="G149" s="64"/>
      <x:c r="H149" s="61"/>
      <x:c r="I149" s="61"/>
      <x:c r="J149" s="61"/>
      <x:c r="K149" s="84"/>
      <x:c r="L149" s="61"/>
      <x:c r="M149" s="61"/>
      <x:c r="N149" s="64"/>
      <x:c r="O149" s="61"/>
      <x:c r="P149" s="61"/>
      <x:c r="Q149" s="61"/>
    </x:row>
    <x:row r="150">
      <x:c r="A150" s="61"/>
      <x:c r="B150" s="84"/>
      <x:c r="C150" s="61"/>
      <x:c r="D150" s="61"/>
      <x:c r="E150" s="64"/>
      <x:c r="F150" s="64"/>
      <x:c r="G150" s="64"/>
      <x:c r="H150" s="61"/>
      <x:c r="I150" s="61"/>
      <x:c r="J150" s="61"/>
      <x:c r="K150" s="84"/>
      <x:c r="L150" s="61"/>
      <x:c r="M150" s="61"/>
      <x:c r="N150" s="64"/>
      <x:c r="O150" s="61"/>
      <x:c r="P150" s="61"/>
      <x:c r="Q150" s="61"/>
    </x:row>
    <x:row r="151">
      <x:c r="A151" s="61"/>
      <x:c r="B151" s="84"/>
      <x:c r="C151" s="61"/>
      <x:c r="D151" s="61"/>
      <x:c r="E151" s="64"/>
      <x:c r="F151" s="64"/>
      <x:c r="G151" s="64"/>
      <x:c r="H151" s="61"/>
      <x:c r="I151" s="61"/>
      <x:c r="J151" s="61"/>
      <x:c r="K151" s="84"/>
      <x:c r="L151" s="61"/>
      <x:c r="M151" s="61"/>
      <x:c r="N151" s="64"/>
      <x:c r="O151" s="61"/>
      <x:c r="P151" s="61"/>
      <x:c r="Q151" s="61"/>
    </x:row>
    <x:row r="152">
      <x:c r="A152" s="61"/>
      <x:c r="B152" s="84"/>
      <x:c r="C152" s="61"/>
      <x:c r="D152" s="61"/>
      <x:c r="E152" s="64"/>
      <x:c r="F152" s="64"/>
      <x:c r="G152" s="64"/>
      <x:c r="H152" s="61"/>
      <x:c r="I152" s="61"/>
      <x:c r="J152" s="61"/>
      <x:c r="K152" s="84"/>
      <x:c r="L152" s="61"/>
      <x:c r="M152" s="61"/>
      <x:c r="N152" s="64"/>
      <x:c r="O152" s="61"/>
      <x:c r="P152" s="61"/>
      <x:c r="Q152" s="61"/>
    </x:row>
    <x:row r="153">
      <x:c r="A153" s="61"/>
      <x:c r="B153" s="84"/>
      <x:c r="C153" s="61"/>
      <x:c r="D153" s="61"/>
      <x:c r="E153" s="64"/>
      <x:c r="F153" s="64"/>
      <x:c r="G153" s="64"/>
      <x:c r="H153" s="61"/>
      <x:c r="I153" s="61"/>
      <x:c r="J153" s="61"/>
      <x:c r="K153" s="84"/>
      <x:c r="L153" s="61"/>
      <x:c r="M153" s="61"/>
      <x:c r="N153" s="64"/>
      <x:c r="O153" s="61"/>
      <x:c r="P153" s="61"/>
      <x:c r="Q153" s="61"/>
    </x:row>
    <x:row r="154">
      <x:c r="A154" s="61"/>
      <x:c r="B154" s="84"/>
      <x:c r="C154" s="61"/>
      <x:c r="D154" s="61"/>
      <x:c r="E154" s="64"/>
      <x:c r="F154" s="64"/>
      <x:c r="G154" s="64"/>
      <x:c r="H154" s="61"/>
      <x:c r="I154" s="61"/>
      <x:c r="J154" s="61"/>
      <x:c r="K154" s="84"/>
      <x:c r="L154" s="61"/>
      <x:c r="M154" s="61"/>
      <x:c r="N154" s="64"/>
      <x:c r="O154" s="61"/>
      <x:c r="P154" s="61"/>
      <x:c r="Q154" s="61"/>
    </x:row>
    <x:row r="155">
      <x:c r="A155" s="61"/>
      <x:c r="B155" s="84"/>
      <x:c r="C155" s="61"/>
      <x:c r="D155" s="61"/>
      <x:c r="E155" s="64"/>
      <x:c r="F155" s="64"/>
      <x:c r="G155" s="64"/>
      <x:c r="H155" s="61"/>
      <x:c r="I155" s="61"/>
      <x:c r="J155" s="61"/>
      <x:c r="K155" s="84"/>
      <x:c r="L155" s="61"/>
      <x:c r="M155" s="61"/>
      <x:c r="N155" s="64"/>
      <x:c r="O155" s="61"/>
      <x:c r="P155" s="61"/>
      <x:c r="Q155" s="61"/>
    </x:row>
    <x:row r="156">
      <x:c r="A156" s="61"/>
      <x:c r="B156" s="84"/>
      <x:c r="C156" s="61"/>
      <x:c r="D156" s="61"/>
      <x:c r="E156" s="64"/>
      <x:c r="F156" s="64"/>
      <x:c r="G156" s="64"/>
      <x:c r="H156" s="61"/>
      <x:c r="I156" s="61"/>
      <x:c r="J156" s="61"/>
      <x:c r="K156" s="84"/>
      <x:c r="L156" s="61"/>
      <x:c r="M156" s="61"/>
      <x:c r="N156" s="64"/>
      <x:c r="O156" s="61"/>
      <x:c r="P156" s="61"/>
      <x:c r="Q156" s="61"/>
    </x:row>
    <x:row r="157">
      <x:c r="A157" s="61"/>
      <x:c r="B157" s="84"/>
      <x:c r="C157" s="61"/>
      <x:c r="D157" s="61"/>
      <x:c r="E157" s="64"/>
      <x:c r="F157" s="64"/>
      <x:c r="G157" s="64"/>
      <x:c r="H157" s="61"/>
      <x:c r="I157" s="61"/>
      <x:c r="J157" s="61"/>
      <x:c r="K157" s="84"/>
      <x:c r="L157" s="61"/>
      <x:c r="M157" s="61"/>
      <x:c r="N157" s="64"/>
      <x:c r="O157" s="61"/>
      <x:c r="P157" s="61"/>
      <x:c r="Q157" s="61"/>
    </x:row>
    <x:row r="158">
      <x:c r="A158" s="61"/>
      <x:c r="B158" s="84"/>
      <x:c r="C158" s="61"/>
      <x:c r="D158" s="61"/>
      <x:c r="E158" s="64"/>
      <x:c r="F158" s="64"/>
      <x:c r="G158" s="64"/>
      <x:c r="H158" s="61"/>
      <x:c r="I158" s="61"/>
      <x:c r="J158" s="61"/>
      <x:c r="K158" s="84"/>
      <x:c r="L158" s="61"/>
      <x:c r="M158" s="61"/>
      <x:c r="N158" s="64"/>
      <x:c r="O158" s="61"/>
      <x:c r="P158" s="61"/>
      <x:c r="Q158" s="61"/>
    </x:row>
    <x:row r="159">
      <x:c r="A159" s="61"/>
      <x:c r="B159" s="84"/>
      <x:c r="C159" s="61"/>
      <x:c r="D159" s="61"/>
      <x:c r="E159" s="64"/>
      <x:c r="F159" s="64"/>
      <x:c r="G159" s="64"/>
      <x:c r="H159" s="61"/>
      <x:c r="I159" s="61"/>
      <x:c r="J159" s="61"/>
      <x:c r="K159" s="84"/>
      <x:c r="L159" s="61"/>
      <x:c r="M159" s="61"/>
      <x:c r="N159" s="64"/>
      <x:c r="O159" s="61"/>
      <x:c r="P159" s="61"/>
      <x:c r="Q159" s="61"/>
    </x:row>
    <x:row r="160">
      <x:c r="A160" s="61"/>
      <x:c r="B160" s="84"/>
      <x:c r="C160" s="61"/>
      <x:c r="D160" s="61"/>
      <x:c r="E160" s="64"/>
      <x:c r="F160" s="64"/>
      <x:c r="G160" s="64"/>
      <x:c r="H160" s="61"/>
      <x:c r="I160" s="61"/>
      <x:c r="J160" s="61"/>
      <x:c r="K160" s="84"/>
      <x:c r="L160" s="61"/>
      <x:c r="M160" s="61"/>
      <x:c r="N160" s="64"/>
      <x:c r="O160" s="61"/>
      <x:c r="P160" s="61"/>
      <x:c r="Q160" s="61"/>
    </x:row>
    <x:row r="161">
      <x:c r="A161" s="61"/>
      <x:c r="B161" s="84"/>
      <x:c r="C161" s="61"/>
      <x:c r="D161" s="61"/>
      <x:c r="E161" s="64"/>
      <x:c r="F161" s="64"/>
      <x:c r="G161" s="64"/>
      <x:c r="H161" s="61"/>
      <x:c r="I161" s="61"/>
      <x:c r="J161" s="61"/>
      <x:c r="K161" s="84"/>
      <x:c r="L161" s="61"/>
      <x:c r="M161" s="61"/>
      <x:c r="N161" s="64"/>
      <x:c r="O161" s="61"/>
      <x:c r="P161" s="61"/>
      <x:c r="Q161" s="61"/>
    </x:row>
    <x:row r="162">
      <x:c r="A162" s="61"/>
      <x:c r="B162" s="84"/>
      <x:c r="C162" s="61"/>
      <x:c r="D162" s="61"/>
      <x:c r="E162" s="64"/>
      <x:c r="F162" s="64"/>
      <x:c r="G162" s="64"/>
      <x:c r="H162" s="61"/>
      <x:c r="I162" s="61"/>
      <x:c r="J162" s="61"/>
      <x:c r="K162" s="84"/>
      <x:c r="L162" s="61"/>
      <x:c r="M162" s="61"/>
      <x:c r="N162" s="64"/>
      <x:c r="O162" s="61"/>
      <x:c r="P162" s="61"/>
      <x:c r="Q162" s="61"/>
    </x:row>
    <x:row r="163">
      <x:c r="A163" s="61"/>
      <x:c r="B163" s="84"/>
      <x:c r="C163" s="61"/>
      <x:c r="D163" s="61"/>
      <x:c r="E163" s="64"/>
      <x:c r="F163" s="64"/>
      <x:c r="G163" s="64"/>
      <x:c r="H163" s="61"/>
      <x:c r="I163" s="61"/>
      <x:c r="J163" s="61"/>
      <x:c r="K163" s="84"/>
      <x:c r="L163" s="61"/>
      <x:c r="M163" s="61"/>
      <x:c r="N163" s="64"/>
      <x:c r="O163" s="61"/>
      <x:c r="P163" s="61"/>
      <x:c r="Q163" s="61"/>
    </x:row>
    <x:row r="164">
      <x:c r="A164" s="61"/>
      <x:c r="B164" s="84"/>
      <x:c r="C164" s="61"/>
      <x:c r="D164" s="61"/>
      <x:c r="E164" s="64"/>
      <x:c r="F164" s="64"/>
      <x:c r="G164" s="64"/>
      <x:c r="H164" s="61"/>
      <x:c r="I164" s="61"/>
      <x:c r="J164" s="61"/>
      <x:c r="K164" s="84"/>
      <x:c r="L164" s="61"/>
      <x:c r="M164" s="61"/>
      <x:c r="N164" s="64"/>
      <x:c r="O164" s="61"/>
      <x:c r="P164" s="61"/>
      <x:c r="Q164" s="61"/>
    </x:row>
    <x:row r="165">
      <x:c r="A165" s="61"/>
      <x:c r="B165" s="84"/>
      <x:c r="C165" s="61"/>
      <x:c r="D165" s="61"/>
      <x:c r="E165" s="64"/>
      <x:c r="F165" s="64"/>
      <x:c r="G165" s="64"/>
      <x:c r="H165" s="61"/>
      <x:c r="I165" s="61"/>
      <x:c r="J165" s="61"/>
      <x:c r="K165" s="84"/>
      <x:c r="L165" s="61"/>
      <x:c r="M165" s="61"/>
      <x:c r="N165" s="64"/>
      <x:c r="O165" s="61"/>
      <x:c r="P165" s="61"/>
      <x:c r="Q165" s="61"/>
    </x:row>
    <x:row r="166">
      <x:c r="A166" s="61"/>
      <x:c r="B166" s="84"/>
      <x:c r="C166" s="61"/>
      <x:c r="D166" s="61"/>
      <x:c r="E166" s="64"/>
      <x:c r="F166" s="64"/>
      <x:c r="G166" s="64"/>
      <x:c r="H166" s="61"/>
      <x:c r="I166" s="61"/>
      <x:c r="J166" s="61"/>
      <x:c r="K166" s="84"/>
      <x:c r="L166" s="61"/>
      <x:c r="M166" s="61"/>
      <x:c r="N166" s="64"/>
      <x:c r="O166" s="61"/>
      <x:c r="P166" s="61"/>
      <x:c r="Q166" s="61"/>
    </x:row>
    <x:row r="167">
      <x:c r="A167" s="61"/>
      <x:c r="B167" s="84"/>
      <x:c r="C167" s="61"/>
      <x:c r="D167" s="61"/>
      <x:c r="E167" s="64"/>
      <x:c r="F167" s="64"/>
      <x:c r="G167" s="64"/>
      <x:c r="H167" s="61"/>
      <x:c r="I167" s="61"/>
      <x:c r="J167" s="61"/>
      <x:c r="K167" s="84"/>
      <x:c r="L167" s="61"/>
      <x:c r="M167" s="61"/>
      <x:c r="N167" s="64"/>
      <x:c r="O167" s="61"/>
      <x:c r="P167" s="61"/>
      <x:c r="Q167" s="61"/>
    </x:row>
    <x:row r="168">
      <x:c r="A168" s="61"/>
      <x:c r="B168" s="84"/>
      <x:c r="C168" s="61"/>
      <x:c r="D168" s="61"/>
      <x:c r="E168" s="64"/>
      <x:c r="F168" s="64"/>
      <x:c r="G168" s="64"/>
      <x:c r="H168" s="61"/>
      <x:c r="I168" s="61"/>
      <x:c r="J168" s="61"/>
      <x:c r="K168" s="84"/>
      <x:c r="L168" s="61"/>
      <x:c r="M168" s="61"/>
      <x:c r="N168" s="64"/>
      <x:c r="O168" s="61"/>
      <x:c r="P168" s="61"/>
      <x:c r="Q168" s="61"/>
    </x:row>
    <x:row r="169">
      <x:c r="A169" s="61"/>
      <x:c r="B169" s="84"/>
      <x:c r="C169" s="61"/>
      <x:c r="D169" s="61"/>
      <x:c r="E169" s="64"/>
      <x:c r="F169" s="64"/>
      <x:c r="G169" s="64"/>
      <x:c r="H169" s="61"/>
      <x:c r="I169" s="61"/>
      <x:c r="J169" s="61"/>
      <x:c r="K169" s="84"/>
      <x:c r="L169" s="61"/>
      <x:c r="M169" s="61"/>
      <x:c r="N169" s="64"/>
      <x:c r="O169" s="61"/>
      <x:c r="P169" s="61"/>
      <x:c r="Q169" s="61"/>
    </x:row>
    <x:row r="170">
      <x:c r="A170" s="61"/>
      <x:c r="B170" s="84"/>
      <x:c r="C170" s="61"/>
      <x:c r="D170" s="61"/>
      <x:c r="E170" s="64"/>
      <x:c r="F170" s="64"/>
      <x:c r="G170" s="64"/>
      <x:c r="H170" s="61"/>
      <x:c r="I170" s="61"/>
      <x:c r="J170" s="61"/>
      <x:c r="K170" s="84"/>
      <x:c r="L170" s="61"/>
      <x:c r="M170" s="61"/>
      <x:c r="N170" s="64"/>
      <x:c r="O170" s="61"/>
      <x:c r="P170" s="61"/>
      <x:c r="Q170" s="61"/>
    </x:row>
    <x:row r="171">
      <x:c r="A171" s="61"/>
      <x:c r="B171" s="84"/>
      <x:c r="C171" s="61"/>
      <x:c r="D171" s="61"/>
      <x:c r="E171" s="64"/>
      <x:c r="F171" s="64"/>
      <x:c r="G171" s="64"/>
      <x:c r="H171" s="61"/>
      <x:c r="I171" s="61"/>
      <x:c r="J171" s="61"/>
      <x:c r="K171" s="84"/>
      <x:c r="L171" s="61"/>
      <x:c r="M171" s="61"/>
      <x:c r="N171" s="64"/>
      <x:c r="O171" s="61"/>
      <x:c r="P171" s="61"/>
      <x:c r="Q171" s="61"/>
    </x:row>
    <x:row r="172">
      <x:c r="A172" s="61"/>
      <x:c r="B172" s="84"/>
      <x:c r="C172" s="61"/>
      <x:c r="D172" s="61"/>
      <x:c r="E172" s="64"/>
      <x:c r="F172" s="64"/>
      <x:c r="G172" s="64"/>
      <x:c r="H172" s="61"/>
      <x:c r="I172" s="61"/>
      <x:c r="J172" s="61"/>
      <x:c r="K172" s="84"/>
      <x:c r="L172" s="61"/>
      <x:c r="M172" s="61"/>
      <x:c r="N172" s="64"/>
      <x:c r="O172" s="61"/>
      <x:c r="P172" s="61"/>
      <x:c r="Q172" s="61"/>
    </x:row>
    <x:row r="173">
      <x:c r="A173" s="61"/>
      <x:c r="B173" s="84"/>
      <x:c r="C173" s="61"/>
      <x:c r="D173" s="61"/>
      <x:c r="E173" s="64"/>
      <x:c r="F173" s="64"/>
      <x:c r="G173" s="64"/>
      <x:c r="H173" s="61"/>
      <x:c r="I173" s="61"/>
      <x:c r="J173" s="61"/>
      <x:c r="K173" s="84"/>
      <x:c r="L173" s="61"/>
      <x:c r="M173" s="61"/>
      <x:c r="N173" s="64"/>
      <x:c r="O173" s="61"/>
      <x:c r="P173" s="61"/>
      <x:c r="Q173" s="61"/>
    </x:row>
    <x:row r="174">
      <x:c r="A174" s="61"/>
      <x:c r="B174" s="84"/>
      <x:c r="C174" s="61"/>
      <x:c r="D174" s="61"/>
      <x:c r="E174" s="64"/>
      <x:c r="F174" s="64"/>
      <x:c r="G174" s="64"/>
      <x:c r="H174" s="61"/>
      <x:c r="I174" s="61"/>
      <x:c r="J174" s="61"/>
      <x:c r="K174" s="84"/>
      <x:c r="L174" s="61"/>
      <x:c r="M174" s="61"/>
      <x:c r="N174" s="64"/>
      <x:c r="O174" s="61"/>
      <x:c r="P174" s="61"/>
      <x:c r="Q174" s="61"/>
    </x:row>
    <x:row r="175">
      <x:c r="A175" s="61"/>
      <x:c r="B175" s="84"/>
      <x:c r="C175" s="61"/>
      <x:c r="D175" s="61"/>
      <x:c r="E175" s="64"/>
      <x:c r="F175" s="64"/>
      <x:c r="G175" s="64"/>
      <x:c r="H175" s="61"/>
      <x:c r="I175" s="61"/>
      <x:c r="J175" s="61"/>
      <x:c r="K175" s="84"/>
      <x:c r="L175" s="61"/>
      <x:c r="M175" s="61"/>
      <x:c r="N175" s="64"/>
      <x:c r="O175" s="61"/>
      <x:c r="P175" s="61"/>
      <x:c r="Q175" s="61"/>
    </x:row>
    <x:row r="176">
      <x:c r="A176" s="61"/>
      <x:c r="B176" s="84"/>
      <x:c r="C176" s="61"/>
      <x:c r="D176" s="61"/>
      <x:c r="E176" s="64"/>
      <x:c r="F176" s="64"/>
      <x:c r="G176" s="64"/>
      <x:c r="H176" s="61"/>
      <x:c r="I176" s="61"/>
      <x:c r="J176" s="61"/>
      <x:c r="K176" s="84"/>
      <x:c r="L176" s="61"/>
      <x:c r="M176" s="61"/>
      <x:c r="N176" s="64"/>
      <x:c r="O176" s="61"/>
      <x:c r="P176" s="61"/>
      <x:c r="Q176" s="61"/>
    </x:row>
    <x:row r="177">
      <x:c r="A177" s="61"/>
      <x:c r="B177" s="84"/>
      <x:c r="C177" s="61"/>
      <x:c r="D177" s="61"/>
      <x:c r="E177" s="64"/>
      <x:c r="F177" s="64"/>
      <x:c r="G177" s="64"/>
      <x:c r="H177" s="61"/>
      <x:c r="I177" s="61"/>
      <x:c r="J177" s="61"/>
      <x:c r="K177" s="84"/>
      <x:c r="L177" s="61"/>
      <x:c r="M177" s="61"/>
      <x:c r="N177" s="64"/>
      <x:c r="O177" s="61"/>
      <x:c r="P177" s="61"/>
      <x:c r="Q177" s="61"/>
    </x:row>
    <x:row r="178">
      <x:c r="A178" s="61"/>
      <x:c r="B178" s="84"/>
      <x:c r="C178" s="61"/>
      <x:c r="D178" s="61"/>
      <x:c r="E178" s="64"/>
      <x:c r="F178" s="64"/>
      <x:c r="G178" s="64"/>
      <x:c r="H178" s="61"/>
      <x:c r="I178" s="61"/>
      <x:c r="J178" s="61"/>
      <x:c r="K178" s="84"/>
      <x:c r="L178" s="61"/>
      <x:c r="M178" s="61"/>
      <x:c r="N178" s="64"/>
      <x:c r="O178" s="61"/>
      <x:c r="P178" s="61"/>
      <x:c r="Q178" s="61"/>
    </x:row>
    <x:row r="179">
      <x:c r="A179" s="61"/>
      <x:c r="B179" s="84"/>
      <x:c r="C179" s="61"/>
      <x:c r="D179" s="61"/>
      <x:c r="E179" s="64"/>
      <x:c r="F179" s="64"/>
      <x:c r="G179" s="64"/>
      <x:c r="H179" s="61"/>
      <x:c r="I179" s="61"/>
      <x:c r="J179" s="61"/>
      <x:c r="K179" s="84"/>
      <x:c r="L179" s="61"/>
      <x:c r="M179" s="61"/>
      <x:c r="N179" s="64"/>
      <x:c r="O179" s="61"/>
      <x:c r="P179" s="61"/>
      <x:c r="Q179" s="61"/>
    </x:row>
    <x:row r="180">
      <x:c r="A180" s="61"/>
      <x:c r="B180" s="84"/>
      <x:c r="C180" s="61"/>
      <x:c r="D180" s="61"/>
      <x:c r="E180" s="64"/>
      <x:c r="F180" s="64"/>
      <x:c r="G180" s="64"/>
      <x:c r="H180" s="61"/>
      <x:c r="I180" s="61"/>
      <x:c r="J180" s="61"/>
      <x:c r="K180" s="84"/>
      <x:c r="L180" s="61"/>
      <x:c r="M180" s="61"/>
      <x:c r="N180" s="64"/>
      <x:c r="O180" s="61"/>
      <x:c r="P180" s="61"/>
      <x:c r="Q180" s="61"/>
    </x:row>
    <x:row r="181">
      <x:c r="A181" s="61"/>
      <x:c r="B181" s="84"/>
      <x:c r="C181" s="61"/>
      <x:c r="D181" s="61"/>
      <x:c r="E181" s="64"/>
      <x:c r="F181" s="64"/>
      <x:c r="G181" s="64"/>
      <x:c r="H181" s="61"/>
      <x:c r="I181" s="61"/>
      <x:c r="J181" s="61"/>
      <x:c r="K181" s="84"/>
      <x:c r="L181" s="61"/>
      <x:c r="M181" s="61"/>
      <x:c r="N181" s="64"/>
      <x:c r="O181" s="61"/>
      <x:c r="P181" s="61"/>
      <x:c r="Q181" s="61"/>
    </x:row>
    <x:row r="182">
      <x:c r="A182" s="61"/>
      <x:c r="B182" s="84"/>
      <x:c r="C182" s="61"/>
      <x:c r="D182" s="61"/>
      <x:c r="E182" s="64"/>
      <x:c r="F182" s="64"/>
      <x:c r="G182" s="64"/>
      <x:c r="H182" s="61"/>
      <x:c r="I182" s="61"/>
      <x:c r="J182" s="61"/>
      <x:c r="K182" s="84"/>
      <x:c r="L182" s="61"/>
      <x:c r="M182" s="61"/>
      <x:c r="N182" s="64"/>
      <x:c r="O182" s="61"/>
      <x:c r="P182" s="61"/>
      <x:c r="Q182" s="61"/>
    </x:row>
    <x:row r="183">
      <x:c r="A183" s="61"/>
      <x:c r="B183" s="84"/>
      <x:c r="C183" s="61"/>
      <x:c r="D183" s="61"/>
      <x:c r="E183" s="64"/>
      <x:c r="F183" s="64"/>
      <x:c r="G183" s="64"/>
      <x:c r="H183" s="61"/>
      <x:c r="I183" s="61"/>
      <x:c r="J183" s="61"/>
      <x:c r="K183" s="84"/>
      <x:c r="L183" s="61"/>
      <x:c r="M183" s="61"/>
      <x:c r="N183" s="64"/>
      <x:c r="O183" s="61"/>
      <x:c r="P183" s="61"/>
      <x:c r="Q183" s="61"/>
    </x:row>
    <x:row r="184">
      <x:c r="A184" s="61"/>
      <x:c r="B184" s="84"/>
      <x:c r="C184" s="61"/>
      <x:c r="D184" s="61"/>
      <x:c r="E184" s="64"/>
      <x:c r="F184" s="64"/>
      <x:c r="G184" s="64"/>
      <x:c r="H184" s="61"/>
      <x:c r="I184" s="61"/>
      <x:c r="J184" s="61"/>
      <x:c r="K184" s="84"/>
      <x:c r="L184" s="61"/>
      <x:c r="M184" s="61"/>
      <x:c r="N184" s="64"/>
      <x:c r="O184" s="61"/>
      <x:c r="P184" s="61"/>
      <x:c r="Q184" s="61"/>
    </x:row>
    <x:row r="185">
      <x:c r="A185" s="61"/>
      <x:c r="B185" s="84"/>
      <x:c r="C185" s="61"/>
      <x:c r="D185" s="61"/>
      <x:c r="E185" s="64"/>
      <x:c r="F185" s="64"/>
      <x:c r="G185" s="64"/>
      <x:c r="H185" s="61"/>
      <x:c r="I185" s="61"/>
      <x:c r="J185" s="61"/>
      <x:c r="K185" s="84"/>
      <x:c r="L185" s="61"/>
      <x:c r="M185" s="61"/>
      <x:c r="N185" s="64"/>
      <x:c r="O185" s="61"/>
      <x:c r="P185" s="61"/>
      <x:c r="Q185" s="61"/>
    </x:row>
    <x:row r="186">
      <x:c r="A186" s="61"/>
      <x:c r="B186" s="84"/>
      <x:c r="C186" s="61"/>
      <x:c r="D186" s="61"/>
      <x:c r="E186" s="64"/>
      <x:c r="F186" s="64"/>
      <x:c r="G186" s="64"/>
      <x:c r="H186" s="61"/>
      <x:c r="I186" s="61"/>
      <x:c r="J186" s="61"/>
      <x:c r="K186" s="84"/>
      <x:c r="L186" s="61"/>
      <x:c r="M186" s="61"/>
      <x:c r="N186" s="64"/>
      <x:c r="O186" s="61"/>
      <x:c r="P186" s="61"/>
      <x:c r="Q186" s="61"/>
    </x:row>
    <x:row r="187">
      <x:c r="A187" s="61"/>
      <x:c r="B187" s="84"/>
      <x:c r="C187" s="61"/>
      <x:c r="D187" s="61"/>
      <x:c r="E187" s="64"/>
      <x:c r="F187" s="64"/>
      <x:c r="G187" s="64"/>
      <x:c r="H187" s="61"/>
      <x:c r="I187" s="61"/>
      <x:c r="J187" s="61"/>
      <x:c r="K187" s="84"/>
      <x:c r="L187" s="61"/>
      <x:c r="M187" s="61"/>
      <x:c r="N187" s="64"/>
      <x:c r="O187" s="61"/>
      <x:c r="P187" s="61"/>
      <x:c r="Q187" s="61"/>
    </x:row>
    <x:row r="188">
      <x:c r="A188" s="61"/>
      <x:c r="B188" s="84"/>
      <x:c r="C188" s="61"/>
      <x:c r="D188" s="61"/>
      <x:c r="E188" s="64"/>
      <x:c r="F188" s="64"/>
      <x:c r="G188" s="64"/>
      <x:c r="H188" s="61"/>
      <x:c r="I188" s="61"/>
      <x:c r="J188" s="61"/>
      <x:c r="K188" s="84"/>
      <x:c r="L188" s="61"/>
      <x:c r="M188" s="61"/>
      <x:c r="N188" s="64"/>
      <x:c r="O188" s="61"/>
      <x:c r="P188" s="61"/>
      <x:c r="Q188" s="61"/>
    </x:row>
    <x:row r="189">
      <x:c r="A189" s="61"/>
      <x:c r="B189" s="84"/>
      <x:c r="C189" s="61"/>
      <x:c r="D189" s="61"/>
      <x:c r="E189" s="64"/>
      <x:c r="F189" s="64"/>
      <x:c r="G189" s="64"/>
      <x:c r="H189" s="61"/>
      <x:c r="I189" s="61"/>
      <x:c r="J189" s="61"/>
      <x:c r="K189" s="84"/>
      <x:c r="L189" s="61"/>
      <x:c r="M189" s="61"/>
      <x:c r="N189" s="64"/>
      <x:c r="O189" s="61"/>
      <x:c r="P189" s="61"/>
      <x:c r="Q189" s="61"/>
    </x:row>
    <x:row r="190">
      <x:c r="A190" s="61"/>
      <x:c r="B190" s="84"/>
      <x:c r="C190" s="61"/>
      <x:c r="D190" s="61"/>
      <x:c r="E190" s="64"/>
      <x:c r="F190" s="64"/>
      <x:c r="G190" s="64"/>
      <x:c r="H190" s="61"/>
      <x:c r="I190" s="61"/>
      <x:c r="J190" s="61"/>
      <x:c r="K190" s="84"/>
      <x:c r="L190" s="61"/>
      <x:c r="M190" s="61"/>
      <x:c r="N190" s="64"/>
      <x:c r="O190" s="61"/>
      <x:c r="P190" s="61"/>
      <x:c r="Q190" s="61"/>
    </x:row>
    <x:row r="191">
      <x:c r="A191" s="61"/>
      <x:c r="B191" s="84"/>
      <x:c r="C191" s="61"/>
      <x:c r="D191" s="61"/>
      <x:c r="E191" s="64"/>
      <x:c r="F191" s="64"/>
      <x:c r="G191" s="64"/>
      <x:c r="H191" s="61"/>
      <x:c r="I191" s="61"/>
      <x:c r="J191" s="61"/>
      <x:c r="K191" s="84"/>
      <x:c r="L191" s="61"/>
      <x:c r="M191" s="61"/>
      <x:c r="N191" s="64"/>
      <x:c r="O191" s="61"/>
      <x:c r="P191" s="61"/>
      <x:c r="Q191" s="61"/>
    </x:row>
    <x:row r="192">
      <x:c r="A192" s="61"/>
      <x:c r="B192" s="84"/>
      <x:c r="C192" s="61"/>
      <x:c r="D192" s="61"/>
      <x:c r="E192" s="64"/>
      <x:c r="F192" s="64"/>
      <x:c r="G192" s="64"/>
      <x:c r="H192" s="61"/>
      <x:c r="I192" s="61"/>
      <x:c r="J192" s="61"/>
      <x:c r="K192" s="84"/>
      <x:c r="L192" s="61"/>
      <x:c r="M192" s="61"/>
      <x:c r="N192" s="64"/>
      <x:c r="O192" s="61"/>
      <x:c r="P192" s="61"/>
      <x:c r="Q192" s="61"/>
    </x:row>
    <x:row r="193">
      <x:c r="A193" s="61"/>
      <x:c r="B193" s="84"/>
      <x:c r="C193" s="61"/>
      <x:c r="D193" s="61"/>
      <x:c r="E193" s="64"/>
      <x:c r="F193" s="64"/>
      <x:c r="G193" s="64"/>
      <x:c r="H193" s="61"/>
      <x:c r="I193" s="61"/>
      <x:c r="J193" s="61"/>
      <x:c r="K193" s="84"/>
      <x:c r="L193" s="61"/>
      <x:c r="M193" s="61"/>
      <x:c r="N193" s="64"/>
      <x:c r="O193" s="61"/>
      <x:c r="P193" s="61"/>
      <x:c r="Q193" s="61"/>
    </x:row>
    <x:row r="194">
      <x:c r="A194" s="61"/>
      <x:c r="B194" s="84"/>
      <x:c r="C194" s="61"/>
      <x:c r="D194" s="61"/>
      <x:c r="E194" s="64"/>
      <x:c r="F194" s="64"/>
      <x:c r="G194" s="64"/>
      <x:c r="H194" s="61"/>
      <x:c r="I194" s="61"/>
      <x:c r="J194" s="61"/>
      <x:c r="K194" s="84"/>
      <x:c r="L194" s="61"/>
      <x:c r="M194" s="61"/>
      <x:c r="N194" s="64"/>
      <x:c r="O194" s="61"/>
      <x:c r="P194" s="61"/>
      <x:c r="Q194" s="61"/>
    </x:row>
    <x:row r="195">
      <x:c r="A195" s="61"/>
      <x:c r="B195" s="84"/>
      <x:c r="C195" s="61"/>
      <x:c r="D195" s="61"/>
      <x:c r="E195" s="64"/>
      <x:c r="F195" s="64"/>
      <x:c r="G195" s="64"/>
      <x:c r="H195" s="61"/>
      <x:c r="I195" s="61"/>
      <x:c r="J195" s="61"/>
      <x:c r="K195" s="84"/>
      <x:c r="L195" s="61"/>
      <x:c r="M195" s="61"/>
      <x:c r="N195" s="64"/>
      <x:c r="O195" s="61"/>
      <x:c r="P195" s="61"/>
      <x:c r="Q195" s="61"/>
    </x:row>
    <x:row r="196">
      <x:c r="A196" s="61"/>
      <x:c r="B196" s="84"/>
      <x:c r="C196" s="61"/>
      <x:c r="D196" s="61"/>
      <x:c r="E196" s="64"/>
      <x:c r="F196" s="64"/>
      <x:c r="G196" s="64"/>
      <x:c r="H196" s="61"/>
      <x:c r="I196" s="61"/>
      <x:c r="J196" s="61"/>
      <x:c r="K196" s="84"/>
      <x:c r="L196" s="61"/>
      <x:c r="M196" s="61"/>
      <x:c r="N196" s="64"/>
      <x:c r="O196" s="61"/>
      <x:c r="P196" s="61"/>
      <x:c r="Q196" s="61"/>
    </x:row>
    <x:row r="197">
      <x:c r="A197" s="61"/>
      <x:c r="B197" s="84"/>
      <x:c r="C197" s="61"/>
      <x:c r="D197" s="61"/>
      <x:c r="E197" s="64"/>
      <x:c r="F197" s="64"/>
      <x:c r="G197" s="64"/>
      <x:c r="H197" s="61"/>
      <x:c r="I197" s="61"/>
      <x:c r="J197" s="61"/>
      <x:c r="K197" s="84"/>
      <x:c r="L197" s="61"/>
      <x:c r="M197" s="61"/>
      <x:c r="N197" s="64"/>
      <x:c r="O197" s="61"/>
      <x:c r="P197" s="61"/>
      <x:c r="Q197" s="61"/>
    </x:row>
    <x:row r="198">
      <x:c r="A198" s="61"/>
      <x:c r="B198" s="84"/>
      <x:c r="C198" s="61"/>
      <x:c r="D198" s="61"/>
      <x:c r="E198" s="64"/>
      <x:c r="F198" s="64"/>
      <x:c r="G198" s="64"/>
      <x:c r="H198" s="61"/>
      <x:c r="I198" s="61"/>
      <x:c r="J198" s="61"/>
      <x:c r="K198" s="84"/>
      <x:c r="L198" s="61"/>
      <x:c r="M198" s="61"/>
      <x:c r="N198" s="64"/>
      <x:c r="O198" s="61"/>
      <x:c r="P198" s="61"/>
      <x:c r="Q198" s="61"/>
    </x:row>
    <x:row r="199">
      <x:c r="A199" s="61"/>
      <x:c r="B199" s="84"/>
      <x:c r="C199" s="61"/>
      <x:c r="D199" s="61"/>
      <x:c r="E199" s="64"/>
      <x:c r="F199" s="64"/>
      <x:c r="G199" s="64"/>
      <x:c r="H199" s="61"/>
      <x:c r="I199" s="61"/>
      <x:c r="J199" s="61"/>
      <x:c r="K199" s="84"/>
      <x:c r="L199" s="61"/>
      <x:c r="M199" s="61"/>
      <x:c r="N199" s="64"/>
      <x:c r="O199" s="61"/>
      <x:c r="P199" s="61"/>
      <x:c r="Q199" s="61"/>
    </x:row>
    <x:row r="200">
      <x:c r="A200" s="61"/>
      <x:c r="B200" s="84"/>
      <x:c r="C200" s="61"/>
      <x:c r="D200" s="61"/>
      <x:c r="E200" s="64"/>
      <x:c r="F200" s="64"/>
      <x:c r="G200" s="64"/>
      <x:c r="H200" s="61"/>
      <x:c r="I200" s="61"/>
      <x:c r="J200" s="61"/>
      <x:c r="K200" s="84"/>
      <x:c r="L200" s="61"/>
      <x:c r="M200" s="61"/>
      <x:c r="N200" s="64"/>
      <x:c r="O200" s="61"/>
      <x:c r="P200" s="61"/>
      <x:c r="Q200" s="61"/>
    </x:row>
    <x:row r="201">
      <x:c r="A201" s="61"/>
      <x:c r="B201" s="61"/>
      <x:c r="C201" s="61"/>
      <x:c r="D201" s="61"/>
      <x:c r="E201" s="61"/>
      <x:c r="F201" s="61"/>
      <x:c r="G201" s="61"/>
      <x:c r="H201" s="61"/>
      <x:c r="I201" s="61"/>
      <x:c r="J201" s="61"/>
      <x:c r="K201" s="61"/>
      <x:c r="L201" s="61"/>
      <x:c r="M201" s="61"/>
      <x:c r="N201" s="61"/>
      <x:c r="O201" s="61"/>
      <x:c r="P201" s="61"/>
      <x:c r="Q201" s="61"/>
    </x:row>
    <x:row r="202">
      <x:c r="A202" s="61"/>
      <x:c r="B202" s="61"/>
      <x:c r="C202" s="61"/>
      <x:c r="D202" s="61"/>
      <x:c r="E202" s="61"/>
      <x:c r="F202" s="61"/>
      <x:c r="G202" s="61"/>
      <x:c r="H202" s="61"/>
      <x:c r="I202" s="61"/>
      <x:c r="J202" s="61"/>
      <x:c r="K202" s="61"/>
      <x:c r="L202" s="61"/>
      <x:c r="M202" s="61"/>
      <x:c r="N202" s="61"/>
      <x:c r="O202" s="61"/>
      <x:c r="P202" s="61"/>
      <x:c r="Q202" s="61"/>
    </x:row>
    <x:row r="203">
      <x:c r="A203" s="61"/>
      <x:c r="B203" s="61"/>
      <x:c r="C203" s="61"/>
      <x:c r="D203" s="61"/>
      <x:c r="E203" s="61"/>
      <x:c r="F203" s="61"/>
      <x:c r="G203" s="61"/>
      <x:c r="H203" s="61"/>
      <x:c r="I203" s="61"/>
      <x:c r="J203" s="61"/>
      <x:c r="K203" s="61"/>
      <x:c r="L203" s="61"/>
      <x:c r="M203" s="61"/>
      <x:c r="N203" s="61"/>
      <x:c r="O203" s="61"/>
      <x:c r="P203" s="61"/>
      <x:c r="Q203" s="61"/>
    </x:row>
    <x:row r="204">
      <x:c r="A204" s="61"/>
      <x:c r="B204" s="61"/>
      <x:c r="C204" s="61"/>
      <x:c r="D204" s="61"/>
      <x:c r="E204" s="61"/>
      <x:c r="F204" s="61"/>
      <x:c r="G204" s="61"/>
      <x:c r="H204" s="61"/>
      <x:c r="I204" s="61"/>
      <x:c r="J204" s="61"/>
      <x:c r="K204" s="61"/>
      <x:c r="L204" s="61"/>
      <x:c r="M204" s="61"/>
      <x:c r="N204" s="61"/>
      <x:c r="O204" s="61"/>
      <x:c r="P204" s="61"/>
      <x:c r="Q204" s="61"/>
    </x:row>
    <x:row r="205">
      <x:c r="A205" s="61"/>
      <x:c r="B205" s="61"/>
      <x:c r="C205" s="61"/>
      <x:c r="D205" s="61"/>
      <x:c r="E205" s="61"/>
      <x:c r="F205" s="61"/>
      <x:c r="G205" s="61"/>
      <x:c r="H205" s="61"/>
      <x:c r="I205" s="61"/>
      <x:c r="J205" s="61"/>
      <x:c r="K205" s="61"/>
      <x:c r="L205" s="61"/>
      <x:c r="M205" s="61"/>
      <x:c r="N205" s="61"/>
      <x:c r="O205" s="61"/>
      <x:c r="P205" s="61"/>
      <x:c r="Q205" s="61"/>
    </x:row>
    <x:row r="206">
      <x:c r="A206" s="61"/>
      <x:c r="B206" s="61"/>
      <x:c r="C206" s="61"/>
      <x:c r="D206" s="61"/>
      <x:c r="E206" s="61"/>
      <x:c r="F206" s="61"/>
      <x:c r="G206" s="61"/>
      <x:c r="H206" s="61"/>
      <x:c r="I206" s="61"/>
      <x:c r="J206" s="61"/>
      <x:c r="K206" s="61"/>
      <x:c r="L206" s="61"/>
      <x:c r="M206" s="61"/>
      <x:c r="N206" s="61"/>
      <x:c r="O206" s="61"/>
      <x:c r="P206" s="61"/>
      <x:c r="Q206" s="61"/>
    </x:row>
    <x:row r="207">
      <x:c r="A207" s="61"/>
      <x:c r="B207" s="61"/>
      <x:c r="C207" s="61"/>
      <x:c r="D207" s="61"/>
      <x:c r="E207" s="61"/>
      <x:c r="F207" s="61"/>
      <x:c r="G207" s="61"/>
      <x:c r="H207" s="61"/>
      <x:c r="I207" s="61"/>
      <x:c r="J207" s="61"/>
      <x:c r="K207" s="61"/>
      <x:c r="L207" s="61"/>
      <x:c r="M207" s="61"/>
      <x:c r="N207" s="61"/>
      <x:c r="O207" s="61"/>
      <x:c r="P207" s="61"/>
      <x:c r="Q207" s="61"/>
    </x:row>
    <x:row r="208">
      <x:c r="A208" s="61"/>
      <x:c r="B208" s="61"/>
      <x:c r="C208" s="61"/>
      <x:c r="D208" s="61"/>
      <x:c r="E208" s="61"/>
      <x:c r="F208" s="61"/>
      <x:c r="G208" s="61"/>
      <x:c r="H208" s="61"/>
      <x:c r="I208" s="61"/>
      <x:c r="J208" s="61"/>
      <x:c r="K208" s="61"/>
      <x:c r="L208" s="61"/>
      <x:c r="M208" s="61"/>
      <x:c r="N208" s="61"/>
      <x:c r="O208" s="61"/>
      <x:c r="P208" s="61"/>
      <x:c r="Q208" s="61"/>
    </x:row>
    <x:row r="209">
      <x:c r="A209" s="61"/>
      <x:c r="B209" s="61"/>
      <x:c r="C209" s="61"/>
      <x:c r="D209" s="61"/>
      <x:c r="E209" s="61"/>
      <x:c r="F209" s="61"/>
      <x:c r="G209" s="61"/>
      <x:c r="H209" s="61"/>
      <x:c r="I209" s="61"/>
      <x:c r="J209" s="61"/>
      <x:c r="K209" s="61"/>
      <x:c r="L209" s="61"/>
      <x:c r="M209" s="61"/>
      <x:c r="N209" s="61"/>
      <x:c r="O209" s="61"/>
      <x:c r="P209" s="61"/>
      <x:c r="Q209" s="61"/>
    </x:row>
    <x:row r="210">
      <x:c r="A210" s="61"/>
      <x:c r="B210" s="61"/>
      <x:c r="C210" s="61"/>
      <x:c r="D210" s="61"/>
      <x:c r="E210" s="61"/>
      <x:c r="F210" s="61"/>
      <x:c r="G210" s="61"/>
      <x:c r="H210" s="61"/>
      <x:c r="I210" s="61"/>
      <x:c r="J210" s="61"/>
      <x:c r="K210" s="61"/>
      <x:c r="L210" s="61"/>
      <x:c r="M210" s="61"/>
      <x:c r="N210" s="61"/>
      <x:c r="O210" s="61"/>
      <x:c r="P210" s="61"/>
      <x:c r="Q210" s="61"/>
    </x:row>
    <x:row r="211">
      <x:c r="A211" s="61"/>
      <x:c r="B211" s="61"/>
      <x:c r="C211" s="61"/>
      <x:c r="D211" s="61"/>
      <x:c r="E211" s="61"/>
      <x:c r="F211" s="61"/>
      <x:c r="G211" s="61"/>
      <x:c r="H211" s="61"/>
      <x:c r="I211" s="61"/>
      <x:c r="J211" s="61"/>
      <x:c r="K211" s="61"/>
      <x:c r="L211" s="61"/>
      <x:c r="M211" s="61"/>
      <x:c r="N211" s="61"/>
      <x:c r="O211" s="61"/>
      <x:c r="P211" s="61"/>
      <x:c r="Q211" s="61"/>
    </x:row>
    <x:row r="212">
      <x:c r="A212" s="61"/>
      <x:c r="B212" s="61"/>
      <x:c r="C212" s="61"/>
      <x:c r="D212" s="61"/>
      <x:c r="E212" s="61"/>
      <x:c r="F212" s="61"/>
      <x:c r="G212" s="61"/>
      <x:c r="H212" s="61"/>
      <x:c r="I212" s="61"/>
      <x:c r="J212" s="61"/>
      <x:c r="K212" s="61"/>
      <x:c r="L212" s="61"/>
      <x:c r="M212" s="61"/>
      <x:c r="N212" s="61"/>
      <x:c r="O212" s="61"/>
      <x:c r="P212" s="61"/>
      <x:c r="Q212" s="61"/>
    </x:row>
    <x:row r="213">
      <x:c r="A213" s="61"/>
      <x:c r="B213" s="61"/>
      <x:c r="C213" s="61"/>
      <x:c r="D213" s="61"/>
      <x:c r="E213" s="61"/>
      <x:c r="F213" s="61"/>
      <x:c r="G213" s="61"/>
      <x:c r="H213" s="61"/>
      <x:c r="I213" s="61"/>
      <x:c r="J213" s="61"/>
      <x:c r="K213" s="61"/>
      <x:c r="L213" s="61"/>
      <x:c r="M213" s="61"/>
      <x:c r="N213" s="61"/>
      <x:c r="O213" s="61"/>
      <x:c r="P213" s="61"/>
      <x:c r="Q213" s="61"/>
    </x:row>
    <x:row r="214">
      <x:c r="A214" s="61"/>
      <x:c r="B214" s="61"/>
      <x:c r="C214" s="61"/>
      <x:c r="D214" s="61"/>
      <x:c r="E214" s="61"/>
      <x:c r="F214" s="61"/>
      <x:c r="G214" s="61"/>
      <x:c r="H214" s="61"/>
      <x:c r="I214" s="61"/>
      <x:c r="J214" s="61"/>
      <x:c r="K214" s="61"/>
      <x:c r="L214" s="61"/>
      <x:c r="M214" s="61"/>
      <x:c r="N214" s="61"/>
      <x:c r="O214" s="61"/>
      <x:c r="P214" s="61"/>
      <x:c r="Q214" s="61"/>
    </x:row>
    <x:row r="215">
      <x:c r="A215" s="61"/>
      <x:c r="B215" s="61"/>
      <x:c r="C215" s="61"/>
      <x:c r="D215" s="61"/>
      <x:c r="E215" s="61"/>
      <x:c r="F215" s="61"/>
      <x:c r="G215" s="61"/>
      <x:c r="H215" s="61"/>
      <x:c r="I215" s="61"/>
      <x:c r="J215" s="61"/>
      <x:c r="K215" s="61"/>
      <x:c r="L215" s="61"/>
      <x:c r="M215" s="61"/>
      <x:c r="N215" s="61"/>
      <x:c r="O215" s="61"/>
      <x:c r="P215" s="61"/>
      <x:c r="Q215" s="61"/>
    </x:row>
    <x:row r="216">
      <x:c r="A216" s="61"/>
      <x:c r="B216" s="61"/>
      <x:c r="C216" s="61"/>
      <x:c r="D216" s="61"/>
      <x:c r="E216" s="61"/>
      <x:c r="F216" s="61"/>
      <x:c r="G216" s="61"/>
      <x:c r="H216" s="61"/>
      <x:c r="I216" s="61"/>
      <x:c r="J216" s="61"/>
      <x:c r="K216" s="61"/>
      <x:c r="L216" s="61"/>
      <x:c r="M216" s="61"/>
      <x:c r="N216" s="61"/>
      <x:c r="O216" s="61"/>
      <x:c r="P216" s="61"/>
      <x:c r="Q216" s="61"/>
    </x:row>
    <x:row r="217">
      <x:c r="A217" s="61"/>
      <x:c r="B217" s="61"/>
      <x:c r="C217" s="61"/>
      <x:c r="D217" s="61"/>
      <x:c r="E217" s="61"/>
      <x:c r="F217" s="61"/>
      <x:c r="G217" s="61"/>
      <x:c r="H217" s="61"/>
      <x:c r="I217" s="61"/>
      <x:c r="J217" s="61"/>
      <x:c r="K217" s="61"/>
      <x:c r="L217" s="61"/>
      <x:c r="M217" s="61"/>
      <x:c r="N217" s="61"/>
      <x:c r="O217" s="61"/>
      <x:c r="P217" s="61"/>
      <x:c r="Q217" s="61"/>
    </x:row>
    <x:row r="218">
      <x:c r="A218" s="61"/>
      <x:c r="B218" s="61"/>
      <x:c r="C218" s="61"/>
      <x:c r="D218" s="61"/>
      <x:c r="E218" s="61"/>
      <x:c r="F218" s="61"/>
      <x:c r="G218" s="61"/>
      <x:c r="H218" s="61"/>
      <x:c r="I218" s="61"/>
      <x:c r="J218" s="61"/>
      <x:c r="K218" s="61"/>
      <x:c r="L218" s="61"/>
      <x:c r="M218" s="61"/>
      <x:c r="N218" s="61"/>
      <x:c r="O218" s="61"/>
      <x:c r="P218" s="61"/>
      <x:c r="Q218" s="61"/>
    </x:row>
    <x:row r="219">
      <x:c r="A219" s="61"/>
      <x:c r="B219" s="61"/>
      <x:c r="C219" s="61"/>
      <x:c r="D219" s="61"/>
      <x:c r="E219" s="61"/>
      <x:c r="F219" s="61"/>
      <x:c r="G219" s="61"/>
      <x:c r="H219" s="61"/>
      <x:c r="I219" s="61"/>
      <x:c r="J219" s="61"/>
      <x:c r="K219" s="61"/>
      <x:c r="L219" s="61"/>
      <x:c r="M219" s="61"/>
      <x:c r="N219" s="61"/>
      <x:c r="O219" s="61"/>
      <x:c r="P219" s="61"/>
      <x:c r="Q219" s="61"/>
    </x:row>
    <x:row r="220">
      <x:c r="A220" s="61"/>
      <x:c r="B220" s="61"/>
      <x:c r="C220" s="61"/>
      <x:c r="D220" s="61"/>
      <x:c r="E220" s="61"/>
      <x:c r="F220" s="61"/>
      <x:c r="G220" s="61"/>
      <x:c r="H220" s="61"/>
      <x:c r="I220" s="61"/>
      <x:c r="J220" s="61"/>
      <x:c r="K220" s="61"/>
      <x:c r="L220" s="61"/>
      <x:c r="M220" s="61"/>
      <x:c r="N220" s="61"/>
      <x:c r="O220" s="61"/>
      <x:c r="P220" s="61"/>
      <x:c r="Q220" s="61"/>
    </x:row>
    <x:row r="221">
      <x:c r="A221" s="61"/>
      <x:c r="B221" s="61"/>
      <x:c r="C221" s="61"/>
      <x:c r="D221" s="61"/>
      <x:c r="E221" s="61"/>
      <x:c r="F221" s="61"/>
      <x:c r="G221" s="61"/>
      <x:c r="H221" s="61"/>
      <x:c r="I221" s="61"/>
      <x:c r="J221" s="61"/>
      <x:c r="K221" s="61"/>
      <x:c r="L221" s="61"/>
      <x:c r="M221" s="61"/>
      <x:c r="N221" s="61"/>
      <x:c r="O221" s="61"/>
      <x:c r="P221" s="61"/>
      <x:c r="Q221" s="61"/>
    </x:row>
    <x:row r="222">
      <x:c r="A222" s="61"/>
      <x:c r="B222" s="61"/>
      <x:c r="C222" s="61"/>
      <x:c r="D222" s="61"/>
      <x:c r="E222" s="61"/>
      <x:c r="F222" s="61"/>
      <x:c r="G222" s="61"/>
      <x:c r="H222" s="61"/>
      <x:c r="I222" s="61"/>
      <x:c r="J222" s="61"/>
      <x:c r="K222" s="61"/>
      <x:c r="L222" s="61"/>
      <x:c r="M222" s="61"/>
      <x:c r="N222" s="61"/>
      <x:c r="O222" s="61"/>
      <x:c r="P222" s="61"/>
      <x:c r="Q222" s="61"/>
    </x:row>
    <x:row r="223">
      <x:c r="A223" s="61"/>
      <x:c r="B223" s="61"/>
      <x:c r="C223" s="61"/>
      <x:c r="D223" s="61"/>
      <x:c r="E223" s="61"/>
      <x:c r="F223" s="61"/>
      <x:c r="G223" s="61"/>
      <x:c r="H223" s="61"/>
      <x:c r="I223" s="61"/>
      <x:c r="J223" s="61"/>
      <x:c r="K223" s="61"/>
      <x:c r="L223" s="61"/>
      <x:c r="M223" s="61"/>
      <x:c r="N223" s="61"/>
      <x:c r="O223" s="61"/>
      <x:c r="P223" s="61"/>
      <x:c r="Q223" s="61"/>
    </x:row>
    <x:row r="224">
      <x:c r="A224" s="61"/>
      <x:c r="B224" s="61"/>
      <x:c r="C224" s="61"/>
      <x:c r="D224" s="61"/>
      <x:c r="E224" s="61"/>
      <x:c r="F224" s="61"/>
      <x:c r="G224" s="61"/>
      <x:c r="H224" s="61"/>
      <x:c r="I224" s="61"/>
      <x:c r="J224" s="61"/>
      <x:c r="K224" s="61"/>
      <x:c r="L224" s="61"/>
      <x:c r="M224" s="61"/>
      <x:c r="N224" s="61"/>
      <x:c r="O224" s="61"/>
      <x:c r="P224" s="61"/>
      <x:c r="Q224" s="61"/>
    </x:row>
    <x:row r="225">
      <x:c r="A225" s="61"/>
      <x:c r="B225" s="61"/>
      <x:c r="C225" s="61"/>
      <x:c r="D225" s="61"/>
      <x:c r="E225" s="61"/>
      <x:c r="F225" s="61"/>
      <x:c r="G225" s="61"/>
      <x:c r="H225" s="61"/>
      <x:c r="I225" s="61"/>
      <x:c r="J225" s="61"/>
      <x:c r="K225" s="61"/>
      <x:c r="L225" s="61"/>
      <x:c r="M225" s="61"/>
      <x:c r="N225" s="61"/>
      <x:c r="O225" s="61"/>
      <x:c r="P225" s="61"/>
      <x:c r="Q225" s="61"/>
    </x:row>
    <x:row r="226">
      <x:c r="A226" s="61"/>
      <x:c r="B226" s="61"/>
      <x:c r="C226" s="61"/>
      <x:c r="D226" s="61"/>
      <x:c r="E226" s="61"/>
      <x:c r="F226" s="61"/>
      <x:c r="G226" s="61"/>
      <x:c r="H226" s="61"/>
      <x:c r="I226" s="61"/>
      <x:c r="J226" s="61"/>
      <x:c r="K226" s="61"/>
      <x:c r="L226" s="61"/>
      <x:c r="M226" s="61"/>
      <x:c r="N226" s="61"/>
      <x:c r="O226" s="61"/>
      <x:c r="P226" s="61"/>
      <x:c r="Q226" s="61"/>
    </x:row>
    <x:row r="227">
      <x:c r="A227" s="61"/>
      <x:c r="B227" s="61"/>
      <x:c r="C227" s="61"/>
      <x:c r="D227" s="61"/>
      <x:c r="E227" s="61"/>
      <x:c r="F227" s="61"/>
      <x:c r="G227" s="61"/>
      <x:c r="H227" s="61"/>
      <x:c r="I227" s="61"/>
      <x:c r="J227" s="61"/>
      <x:c r="K227" s="61"/>
      <x:c r="L227" s="61"/>
      <x:c r="M227" s="61"/>
      <x:c r="N227" s="61"/>
      <x:c r="O227" s="61"/>
      <x:c r="P227" s="61"/>
      <x:c r="Q227" s="61"/>
    </x:row>
    <x:row r="228">
      <x:c r="A228" s="61"/>
      <x:c r="B228" s="61"/>
      <x:c r="C228" s="61"/>
      <x:c r="D228" s="61"/>
      <x:c r="E228" s="61"/>
      <x:c r="F228" s="61"/>
      <x:c r="G228" s="61"/>
      <x:c r="H228" s="61"/>
      <x:c r="I228" s="61"/>
      <x:c r="J228" s="61"/>
      <x:c r="K228" s="61"/>
      <x:c r="L228" s="61"/>
      <x:c r="M228" s="61"/>
      <x:c r="N228" s="61"/>
      <x:c r="O228" s="61"/>
      <x:c r="P228" s="61"/>
      <x:c r="Q228" s="61"/>
    </x:row>
    <x:row r="229">
      <x:c r="A229" s="61"/>
      <x:c r="B229" s="61"/>
      <x:c r="C229" s="61"/>
      <x:c r="D229" s="61"/>
      <x:c r="E229" s="61"/>
      <x:c r="F229" s="61"/>
      <x:c r="G229" s="61"/>
      <x:c r="H229" s="61"/>
      <x:c r="I229" s="61"/>
      <x:c r="J229" s="61"/>
      <x:c r="K229" s="61"/>
      <x:c r="L229" s="61"/>
      <x:c r="M229" s="61"/>
      <x:c r="N229" s="61"/>
      <x:c r="O229" s="61"/>
      <x:c r="P229" s="61"/>
      <x:c r="Q229" s="61"/>
    </x:row>
    <x:row r="230">
      <x:c r="A230" s="61"/>
      <x:c r="B230" s="61"/>
      <x:c r="C230" s="61"/>
      <x:c r="D230" s="61"/>
      <x:c r="E230" s="61"/>
      <x:c r="F230" s="61"/>
      <x:c r="G230" s="61"/>
      <x:c r="H230" s="61"/>
      <x:c r="I230" s="61"/>
      <x:c r="J230" s="61"/>
      <x:c r="K230" s="61"/>
      <x:c r="L230" s="61"/>
      <x:c r="M230" s="61"/>
      <x:c r="N230" s="61"/>
      <x:c r="O230" s="61"/>
      <x:c r="P230" s="61"/>
      <x:c r="Q230" s="61"/>
    </x:row>
    <x:row r="231">
      <x:c r="A231" s="61"/>
      <x:c r="B231" s="61"/>
      <x:c r="C231" s="61"/>
      <x:c r="D231" s="61"/>
      <x:c r="E231" s="61"/>
      <x:c r="F231" s="61"/>
      <x:c r="G231" s="61"/>
      <x:c r="H231" s="61"/>
      <x:c r="I231" s="61"/>
      <x:c r="J231" s="61"/>
      <x:c r="K231" s="61"/>
      <x:c r="L231" s="61"/>
      <x:c r="M231" s="61"/>
      <x:c r="N231" s="61"/>
      <x:c r="O231" s="61"/>
      <x:c r="P231" s="61"/>
      <x:c r="Q231" s="61"/>
    </x:row>
    <x:row r="232">
      <x:c r="A232" s="61"/>
      <x:c r="B232" s="61"/>
      <x:c r="C232" s="61"/>
      <x:c r="D232" s="61"/>
      <x:c r="E232" s="61"/>
      <x:c r="F232" s="61"/>
      <x:c r="G232" s="61"/>
      <x:c r="H232" s="61"/>
      <x:c r="I232" s="61"/>
      <x:c r="J232" s="61"/>
      <x:c r="K232" s="61"/>
      <x:c r="L232" s="61"/>
      <x:c r="M232" s="61"/>
      <x:c r="N232" s="61"/>
      <x:c r="O232" s="61"/>
      <x:c r="P232" s="61"/>
      <x:c r="Q232" s="61"/>
    </x:row>
    <x:row r="233">
      <x:c r="A233" s="61"/>
      <x:c r="B233" s="61"/>
      <x:c r="C233" s="61"/>
      <x:c r="D233" s="61"/>
      <x:c r="E233" s="61"/>
      <x:c r="F233" s="61"/>
      <x:c r="G233" s="61"/>
      <x:c r="H233" s="61"/>
      <x:c r="I233" s="61"/>
      <x:c r="J233" s="61"/>
      <x:c r="K233" s="61"/>
      <x:c r="L233" s="61"/>
      <x:c r="M233" s="61"/>
      <x:c r="N233" s="61"/>
      <x:c r="O233" s="61"/>
      <x:c r="P233" s="61"/>
      <x:c r="Q233" s="61"/>
    </x:row>
    <x:row r="234">
      <x:c r="A234" s="61"/>
      <x:c r="B234" s="61"/>
      <x:c r="C234" s="61"/>
      <x:c r="D234" s="61"/>
      <x:c r="E234" s="61"/>
      <x:c r="F234" s="61"/>
      <x:c r="G234" s="61"/>
      <x:c r="H234" s="61"/>
      <x:c r="I234" s="61"/>
      <x:c r="J234" s="61"/>
      <x:c r="K234" s="61"/>
      <x:c r="L234" s="61"/>
      <x:c r="M234" s="61"/>
      <x:c r="N234" s="61"/>
      <x:c r="O234" s="61"/>
      <x:c r="P234" s="61"/>
      <x:c r="Q234" s="61"/>
    </x:row>
    <x:row r="235">
      <x:c r="A235" s="61"/>
      <x:c r="B235" s="61"/>
      <x:c r="C235" s="61"/>
      <x:c r="D235" s="61"/>
      <x:c r="E235" s="61"/>
      <x:c r="F235" s="61"/>
      <x:c r="G235" s="61"/>
      <x:c r="H235" s="61"/>
      <x:c r="I235" s="61"/>
      <x:c r="J235" s="61"/>
      <x:c r="K235" s="61"/>
      <x:c r="L235" s="61"/>
      <x:c r="M235" s="61"/>
      <x:c r="N235" s="61"/>
      <x:c r="O235" s="61"/>
      <x:c r="P235" s="61"/>
      <x:c r="Q235" s="61"/>
    </x:row>
    <x:row r="236">
      <x:c r="A236" s="61"/>
      <x:c r="B236" s="61"/>
      <x:c r="C236" s="61"/>
      <x:c r="D236" s="61"/>
      <x:c r="E236" s="61"/>
      <x:c r="F236" s="61"/>
      <x:c r="G236" s="61"/>
      <x:c r="H236" s="61"/>
      <x:c r="I236" s="61"/>
      <x:c r="J236" s="61"/>
      <x:c r="K236" s="61"/>
      <x:c r="L236" s="61"/>
      <x:c r="M236" s="61"/>
      <x:c r="N236" s="61"/>
      <x:c r="O236" s="61"/>
      <x:c r="P236" s="61"/>
      <x:c r="Q236" s="61"/>
    </x:row>
    <x:row r="237">
      <x:c r="A237" s="61"/>
      <x:c r="B237" s="61"/>
      <x:c r="C237" s="61"/>
      <x:c r="D237" s="61"/>
      <x:c r="E237" s="61"/>
      <x:c r="F237" s="61"/>
      <x:c r="G237" s="61"/>
      <x:c r="H237" s="61"/>
      <x:c r="I237" s="61"/>
      <x:c r="J237" s="61"/>
      <x:c r="K237" s="61"/>
      <x:c r="L237" s="61"/>
      <x:c r="M237" s="61"/>
      <x:c r="N237" s="61"/>
      <x:c r="O237" s="61"/>
      <x:c r="P237" s="61"/>
      <x:c r="Q237" s="61"/>
    </x:row>
    <x:row r="238">
      <x:c r="A238" s="61"/>
      <x:c r="B238" s="61"/>
      <x:c r="C238" s="61"/>
      <x:c r="D238" s="61"/>
      <x:c r="E238" s="61"/>
      <x:c r="F238" s="61"/>
      <x:c r="G238" s="61"/>
      <x:c r="H238" s="61"/>
      <x:c r="I238" s="61"/>
      <x:c r="J238" s="61"/>
      <x:c r="K238" s="61"/>
      <x:c r="L238" s="61"/>
      <x:c r="M238" s="61"/>
      <x:c r="N238" s="61"/>
      <x:c r="O238" s="61"/>
      <x:c r="P238" s="61"/>
      <x:c r="Q238" s="61"/>
    </x:row>
    <x:row r="239">
      <x:c r="A239" s="61"/>
      <x:c r="B239" s="61"/>
      <x:c r="C239" s="61"/>
      <x:c r="D239" s="61"/>
      <x:c r="E239" s="61"/>
      <x:c r="F239" s="61"/>
      <x:c r="G239" s="61"/>
      <x:c r="H239" s="61"/>
      <x:c r="I239" s="61"/>
      <x:c r="J239" s="61"/>
      <x:c r="K239" s="61"/>
      <x:c r="L239" s="61"/>
      <x:c r="M239" s="61"/>
      <x:c r="N239" s="61"/>
      <x:c r="O239" s="61"/>
      <x:c r="P239" s="61"/>
      <x:c r="Q239" s="61"/>
    </x:row>
    <x:row r="240">
      <x:c r="A240" s="61"/>
      <x:c r="B240" s="61"/>
      <x:c r="C240" s="61"/>
      <x:c r="D240" s="61"/>
      <x:c r="E240" s="61"/>
      <x:c r="F240" s="61"/>
      <x:c r="G240" s="61"/>
      <x:c r="H240" s="61"/>
      <x:c r="I240" s="61"/>
      <x:c r="J240" s="61"/>
      <x:c r="K240" s="61"/>
      <x:c r="L240" s="61"/>
      <x:c r="M240" s="61"/>
      <x:c r="N240" s="61"/>
      <x:c r="O240" s="61"/>
      <x:c r="P240" s="61"/>
      <x:c r="Q240" s="61"/>
    </x:row>
    <x:row r="241">
      <x:c r="A241" s="61"/>
      <x:c r="B241" s="61"/>
      <x:c r="C241" s="61"/>
      <x:c r="D241" s="61"/>
      <x:c r="E241" s="61"/>
      <x:c r="F241" s="61"/>
      <x:c r="G241" s="61"/>
      <x:c r="H241" s="61"/>
      <x:c r="I241" s="61"/>
      <x:c r="J241" s="61"/>
      <x:c r="K241" s="61"/>
      <x:c r="L241" s="61"/>
      <x:c r="M241" s="61"/>
      <x:c r="N241" s="61"/>
      <x:c r="O241" s="61"/>
      <x:c r="P241" s="61"/>
      <x:c r="Q241" s="61"/>
    </x:row>
    <x:row r="242">
      <x:c r="A242" s="61"/>
      <x:c r="B242" s="61"/>
      <x:c r="C242" s="61"/>
      <x:c r="D242" s="61"/>
      <x:c r="E242" s="61"/>
      <x:c r="F242" s="61"/>
      <x:c r="G242" s="61"/>
      <x:c r="H242" s="61"/>
      <x:c r="I242" s="61"/>
      <x:c r="J242" s="61"/>
      <x:c r="K242" s="61"/>
      <x:c r="L242" s="61"/>
      <x:c r="M242" s="61"/>
      <x:c r="N242" s="61"/>
      <x:c r="O242" s="61"/>
      <x:c r="P242" s="61"/>
      <x:c r="Q242" s="61"/>
    </x:row>
    <x:row r="243">
      <x:c r="A243" s="61"/>
      <x:c r="B243" s="61"/>
      <x:c r="C243" s="61"/>
      <x:c r="D243" s="61"/>
      <x:c r="E243" s="61"/>
      <x:c r="F243" s="61"/>
      <x:c r="G243" s="61"/>
      <x:c r="H243" s="61"/>
      <x:c r="I243" s="61"/>
      <x:c r="J243" s="61"/>
      <x:c r="K243" s="61"/>
      <x:c r="L243" s="61"/>
      <x:c r="M243" s="61"/>
      <x:c r="N243" s="61"/>
      <x:c r="O243" s="61"/>
      <x:c r="P243" s="61"/>
      <x:c r="Q243" s="61"/>
    </x:row>
    <x:row r="244">
      <x:c r="A244" s="61"/>
      <x:c r="B244" s="61"/>
      <x:c r="C244" s="61"/>
      <x:c r="D244" s="61"/>
      <x:c r="E244" s="61"/>
      <x:c r="F244" s="61"/>
      <x:c r="G244" s="61"/>
      <x:c r="H244" s="61"/>
      <x:c r="I244" s="61"/>
      <x:c r="J244" s="61"/>
      <x:c r="K244" s="61"/>
      <x:c r="L244" s="61"/>
      <x:c r="M244" s="61"/>
      <x:c r="N244" s="61"/>
      <x:c r="O244" s="61"/>
      <x:c r="P244" s="61"/>
      <x:c r="Q244" s="61"/>
    </x:row>
    <x:row r="245">
      <x:c r="A245" s="61"/>
      <x:c r="B245" s="61"/>
      <x:c r="C245" s="61"/>
      <x:c r="D245" s="61"/>
      <x:c r="E245" s="61"/>
      <x:c r="F245" s="61"/>
      <x:c r="G245" s="61"/>
      <x:c r="H245" s="61"/>
      <x:c r="I245" s="61"/>
      <x:c r="J245" s="61"/>
      <x:c r="K245" s="61"/>
      <x:c r="L245" s="61"/>
      <x:c r="M245" s="61"/>
      <x:c r="N245" s="61"/>
      <x:c r="O245" s="61"/>
      <x:c r="P245" s="61"/>
      <x:c r="Q245" s="61"/>
    </x:row>
    <x:row r="246">
      <x:c r="A246" s="61"/>
      <x:c r="B246" s="61"/>
      <x:c r="C246" s="61"/>
      <x:c r="D246" s="61"/>
      <x:c r="E246" s="61"/>
      <x:c r="F246" s="61"/>
      <x:c r="G246" s="61"/>
      <x:c r="H246" s="61"/>
      <x:c r="I246" s="61"/>
      <x:c r="J246" s="61"/>
      <x:c r="K246" s="61"/>
      <x:c r="L246" s="61"/>
      <x:c r="M246" s="61"/>
      <x:c r="N246" s="61"/>
      <x:c r="O246" s="61"/>
      <x:c r="P246" s="61"/>
      <x:c r="Q246" s="61"/>
    </x:row>
    <x:row r="247">
      <x:c r="A247" s="61"/>
      <x:c r="B247" s="61"/>
      <x:c r="C247" s="61"/>
      <x:c r="D247" s="61"/>
      <x:c r="E247" s="61"/>
      <x:c r="F247" s="61"/>
      <x:c r="G247" s="61"/>
      <x:c r="H247" s="61"/>
      <x:c r="I247" s="61"/>
      <x:c r="J247" s="61"/>
      <x:c r="K247" s="61"/>
      <x:c r="L247" s="61"/>
      <x:c r="M247" s="61"/>
      <x:c r="N247" s="61"/>
      <x:c r="O247" s="61"/>
      <x:c r="P247" s="61"/>
      <x:c r="Q247" s="61"/>
    </x:row>
    <x:row r="248">
      <x:c r="A248" s="61"/>
      <x:c r="B248" s="61"/>
      <x:c r="C248" s="61"/>
      <x:c r="D248" s="61"/>
      <x:c r="E248" s="61"/>
      <x:c r="F248" s="61"/>
      <x:c r="G248" s="61"/>
      <x:c r="H248" s="61"/>
      <x:c r="I248" s="61"/>
      <x:c r="J248" s="61"/>
      <x:c r="K248" s="61"/>
      <x:c r="L248" s="61"/>
      <x:c r="M248" s="61"/>
      <x:c r="N248" s="61"/>
      <x:c r="O248" s="61"/>
      <x:c r="P248" s="61"/>
      <x:c r="Q248" s="61"/>
    </x:row>
    <x:row r="249">
      <x:c r="A249" s="61"/>
      <x:c r="B249" s="61"/>
      <x:c r="C249" s="61"/>
      <x:c r="D249" s="61"/>
      <x:c r="E249" s="61"/>
      <x:c r="F249" s="61"/>
      <x:c r="G249" s="61"/>
      <x:c r="H249" s="61"/>
      <x:c r="I249" s="61"/>
      <x:c r="J249" s="61"/>
      <x:c r="K249" s="61"/>
      <x:c r="L249" s="61"/>
      <x:c r="M249" s="61"/>
      <x:c r="N249" s="61"/>
      <x:c r="O249" s="61"/>
      <x:c r="P249" s="61"/>
      <x:c r="Q249" s="61"/>
    </x:row>
    <x:row r="250">
      <x:c r="A250" s="61"/>
      <x:c r="B250" s="61"/>
      <x:c r="C250" s="61"/>
      <x:c r="D250" s="61"/>
      <x:c r="E250" s="61"/>
      <x:c r="F250" s="61"/>
      <x:c r="G250" s="61"/>
      <x:c r="H250" s="61"/>
      <x:c r="I250" s="61"/>
      <x:c r="J250" s="61"/>
      <x:c r="K250" s="61"/>
      <x:c r="L250" s="61"/>
      <x:c r="M250" s="61"/>
      <x:c r="N250" s="61"/>
      <x:c r="O250" s="61"/>
      <x:c r="P250" s="61"/>
      <x:c r="Q250" s="61"/>
    </x:row>
    <x:row r="251">
      <x:c r="A251" s="61"/>
      <x:c r="B251" s="61"/>
      <x:c r="C251" s="61"/>
      <x:c r="D251" s="61"/>
      <x:c r="E251" s="61"/>
      <x:c r="F251" s="61"/>
      <x:c r="G251" s="61"/>
      <x:c r="H251" s="61"/>
      <x:c r="I251" s="61"/>
      <x:c r="J251" s="61"/>
      <x:c r="K251" s="61"/>
      <x:c r="L251" s="61"/>
      <x:c r="M251" s="61"/>
      <x:c r="N251" s="61"/>
      <x:c r="O251" s="61"/>
      <x:c r="P251" s="61"/>
      <x:c r="Q251" s="61"/>
    </x:row>
    <x:row r="252">
      <x:c r="A252" s="61"/>
      <x:c r="B252" s="61"/>
      <x:c r="C252" s="61"/>
      <x:c r="D252" s="61"/>
      <x:c r="E252" s="61"/>
      <x:c r="F252" s="61"/>
      <x:c r="G252" s="61"/>
      <x:c r="H252" s="61"/>
      <x:c r="I252" s="61"/>
      <x:c r="J252" s="61"/>
      <x:c r="K252" s="61"/>
      <x:c r="L252" s="61"/>
      <x:c r="M252" s="61"/>
      <x:c r="N252" s="61"/>
      <x:c r="O252" s="61"/>
      <x:c r="P252" s="61"/>
      <x:c r="Q252" s="61"/>
    </x:row>
    <x:row r="253">
      <x:c r="A253" s="61"/>
      <x:c r="B253" s="61"/>
      <x:c r="C253" s="61"/>
      <x:c r="D253" s="61"/>
      <x:c r="E253" s="61"/>
      <x:c r="F253" s="61"/>
      <x:c r="G253" s="61"/>
      <x:c r="H253" s="61"/>
      <x:c r="I253" s="61"/>
      <x:c r="J253" s="61"/>
      <x:c r="K253" s="61"/>
      <x:c r="L253" s="61"/>
      <x:c r="M253" s="61"/>
      <x:c r="N253" s="61"/>
      <x:c r="O253" s="61"/>
      <x:c r="P253" s="61"/>
      <x:c r="Q253" s="61"/>
    </x:row>
    <x:row r="254">
      <x:c r="A254" s="61"/>
      <x:c r="B254" s="61"/>
      <x:c r="C254" s="61"/>
      <x:c r="D254" s="61"/>
      <x:c r="E254" s="61"/>
      <x:c r="F254" s="61"/>
      <x:c r="G254" s="61"/>
      <x:c r="H254" s="61"/>
      <x:c r="I254" s="61"/>
      <x:c r="J254" s="61"/>
      <x:c r="K254" s="61"/>
      <x:c r="L254" s="61"/>
      <x:c r="M254" s="61"/>
      <x:c r="N254" s="61"/>
      <x:c r="O254" s="61"/>
      <x:c r="P254" s="61"/>
      <x:c r="Q254" s="61"/>
    </x:row>
    <x:row r="255">
      <x:c r="A255" s="61"/>
      <x:c r="B255" s="61"/>
      <x:c r="C255" s="61"/>
      <x:c r="D255" s="61"/>
      <x:c r="E255" s="61"/>
      <x:c r="F255" s="61"/>
      <x:c r="G255" s="61"/>
      <x:c r="H255" s="61"/>
      <x:c r="I255" s="61"/>
      <x:c r="J255" s="61"/>
      <x:c r="K255" s="61"/>
      <x:c r="L255" s="61"/>
      <x:c r="M255" s="61"/>
      <x:c r="N255" s="61"/>
      <x:c r="O255" s="61"/>
      <x:c r="P255" s="61"/>
      <x:c r="Q255" s="61"/>
    </x:row>
    <x:row r="256">
      <x:c r="A256" s="61"/>
      <x:c r="B256" s="61"/>
      <x:c r="C256" s="61"/>
      <x:c r="D256" s="61"/>
      <x:c r="E256" s="61"/>
      <x:c r="F256" s="61"/>
      <x:c r="G256" s="61"/>
      <x:c r="H256" s="61"/>
      <x:c r="I256" s="61"/>
      <x:c r="J256" s="61"/>
      <x:c r="K256" s="61"/>
      <x:c r="L256" s="61"/>
      <x:c r="M256" s="61"/>
      <x:c r="N256" s="61"/>
      <x:c r="O256" s="61"/>
      <x:c r="P256" s="61"/>
      <x:c r="Q256" s="61"/>
    </x:row>
    <x:row r="257">
      <x:c r="A257" s="61"/>
      <x:c r="B257" s="61"/>
      <x:c r="C257" s="61"/>
      <x:c r="D257" s="61"/>
      <x:c r="E257" s="61"/>
      <x:c r="F257" s="61"/>
      <x:c r="G257" s="61"/>
      <x:c r="H257" s="61"/>
      <x:c r="I257" s="61"/>
      <x:c r="J257" s="61"/>
      <x:c r="K257" s="61"/>
      <x:c r="L257" s="61"/>
      <x:c r="M257" s="61"/>
      <x:c r="N257" s="61"/>
      <x:c r="O257" s="61"/>
      <x:c r="P257" s="61"/>
      <x:c r="Q257" s="61"/>
    </x:row>
    <x:row r="258">
      <x:c r="A258" s="61"/>
      <x:c r="B258" s="61"/>
      <x:c r="C258" s="61"/>
      <x:c r="D258" s="61"/>
      <x:c r="E258" s="61"/>
      <x:c r="F258" s="61"/>
      <x:c r="G258" s="61"/>
      <x:c r="H258" s="61"/>
      <x:c r="I258" s="61"/>
      <x:c r="J258" s="61"/>
      <x:c r="K258" s="61"/>
      <x:c r="L258" s="61"/>
      <x:c r="M258" s="61"/>
      <x:c r="N258" s="61"/>
      <x:c r="O258" s="61"/>
      <x:c r="P258" s="61"/>
      <x:c r="Q258" s="61"/>
    </x:row>
    <x:row r="259">
      <x:c r="A259" s="61"/>
      <x:c r="B259" s="61"/>
      <x:c r="C259" s="61"/>
      <x:c r="D259" s="61"/>
      <x:c r="E259" s="61"/>
      <x:c r="F259" s="61"/>
      <x:c r="G259" s="61"/>
      <x:c r="H259" s="61"/>
      <x:c r="I259" s="61"/>
      <x:c r="J259" s="61"/>
      <x:c r="K259" s="61"/>
      <x:c r="L259" s="61"/>
      <x:c r="M259" s="61"/>
      <x:c r="N259" s="61"/>
      <x:c r="O259" s="61"/>
      <x:c r="P259" s="61"/>
      <x:c r="Q259" s="61"/>
    </x:row>
    <x:row r="260">
      <x:c r="A260" s="61"/>
      <x:c r="B260" s="61"/>
      <x:c r="C260" s="61"/>
      <x:c r="D260" s="61"/>
      <x:c r="E260" s="61"/>
      <x:c r="F260" s="61"/>
      <x:c r="G260" s="61"/>
      <x:c r="H260" s="61"/>
      <x:c r="I260" s="61"/>
      <x:c r="J260" s="61"/>
      <x:c r="K260" s="61"/>
      <x:c r="L260" s="61"/>
      <x:c r="M260" s="61"/>
      <x:c r="N260" s="61"/>
      <x:c r="O260" s="61"/>
      <x:c r="P260" s="61"/>
      <x:c r="Q260" s="61"/>
    </x:row>
    <x:row r="261">
      <x:c r="A261" s="61"/>
      <x:c r="B261" s="61"/>
      <x:c r="C261" s="61"/>
      <x:c r="D261" s="61"/>
      <x:c r="E261" s="61"/>
      <x:c r="F261" s="61"/>
      <x:c r="G261" s="61"/>
      <x:c r="H261" s="61"/>
      <x:c r="I261" s="61"/>
      <x:c r="J261" s="61"/>
      <x:c r="K261" s="61"/>
      <x:c r="L261" s="61"/>
      <x:c r="M261" s="61"/>
      <x:c r="N261" s="61"/>
      <x:c r="O261" s="61"/>
      <x:c r="P261" s="61"/>
      <x:c r="Q261" s="61"/>
    </x:row>
    <x:row r="262">
      <x:c r="A262" s="61"/>
      <x:c r="B262" s="61"/>
      <x:c r="C262" s="61"/>
      <x:c r="D262" s="61"/>
      <x:c r="E262" s="61"/>
      <x:c r="F262" s="61"/>
      <x:c r="G262" s="61"/>
      <x:c r="H262" s="61"/>
      <x:c r="I262" s="61"/>
      <x:c r="J262" s="61"/>
      <x:c r="K262" s="61"/>
      <x:c r="L262" s="61"/>
      <x:c r="M262" s="61"/>
      <x:c r="N262" s="61"/>
      <x:c r="O262" s="61"/>
      <x:c r="P262" s="61"/>
      <x:c r="Q262" s="61"/>
    </x:row>
    <x:row r="263">
      <x:c r="A263" s="61"/>
      <x:c r="B263" s="61"/>
      <x:c r="C263" s="61"/>
      <x:c r="D263" s="61"/>
      <x:c r="E263" s="61"/>
      <x:c r="F263" s="61"/>
      <x:c r="G263" s="61"/>
      <x:c r="H263" s="61"/>
      <x:c r="I263" s="61"/>
      <x:c r="J263" s="61"/>
      <x:c r="K263" s="61"/>
      <x:c r="L263" s="61"/>
      <x:c r="M263" s="61"/>
      <x:c r="N263" s="61"/>
      <x:c r="O263" s="61"/>
      <x:c r="P263" s="61"/>
      <x:c r="Q263" s="61"/>
    </x:row>
    <x:row r="264">
      <x:c r="A264" s="61"/>
      <x:c r="B264" s="61"/>
      <x:c r="C264" s="61"/>
      <x:c r="D264" s="61"/>
      <x:c r="E264" s="61"/>
      <x:c r="F264" s="61"/>
      <x:c r="G264" s="61"/>
      <x:c r="H264" s="61"/>
      <x:c r="I264" s="61"/>
      <x:c r="J264" s="61"/>
      <x:c r="K264" s="61"/>
      <x:c r="L264" s="61"/>
      <x:c r="M264" s="61"/>
      <x:c r="N264" s="61"/>
      <x:c r="O264" s="61"/>
      <x:c r="P264" s="61"/>
      <x:c r="Q264" s="61"/>
    </x:row>
    <x:row r="265">
      <x:c r="A265" s="61"/>
      <x:c r="B265" s="61"/>
      <x:c r="C265" s="61"/>
      <x:c r="D265" s="61"/>
      <x:c r="E265" s="61"/>
      <x:c r="F265" s="61"/>
      <x:c r="G265" s="61"/>
      <x:c r="H265" s="61"/>
      <x:c r="I265" s="61"/>
      <x:c r="J265" s="61"/>
      <x:c r="K265" s="61"/>
      <x:c r="L265" s="61"/>
      <x:c r="M265" s="61"/>
      <x:c r="N265" s="61"/>
      <x:c r="O265" s="61"/>
      <x:c r="P265" s="61"/>
      <x:c r="Q265" s="61"/>
    </x:row>
    <x:row r="266">
      <x:c r="A266" s="61"/>
      <x:c r="B266" s="61"/>
      <x:c r="C266" s="61"/>
      <x:c r="D266" s="61"/>
      <x:c r="E266" s="61"/>
      <x:c r="F266" s="61"/>
      <x:c r="G266" s="61"/>
      <x:c r="H266" s="61"/>
      <x:c r="I266" s="61"/>
      <x:c r="J266" s="61"/>
      <x:c r="K266" s="61"/>
      <x:c r="L266" s="61"/>
      <x:c r="M266" s="61"/>
      <x:c r="N266" s="61"/>
      <x:c r="O266" s="61"/>
      <x:c r="P266" s="61"/>
      <x:c r="Q266" s="61"/>
    </x:row>
    <x:row r="267">
      <x:c r="A267" s="61"/>
      <x:c r="B267" s="61"/>
      <x:c r="C267" s="61"/>
      <x:c r="D267" s="61"/>
      <x:c r="E267" s="61"/>
      <x:c r="F267" s="61"/>
      <x:c r="G267" s="61"/>
      <x:c r="H267" s="61"/>
      <x:c r="I267" s="61"/>
      <x:c r="J267" s="61"/>
      <x:c r="K267" s="61"/>
      <x:c r="L267" s="61"/>
      <x:c r="M267" s="61"/>
      <x:c r="N267" s="61"/>
      <x:c r="O267" s="61"/>
      <x:c r="P267" s="61"/>
      <x:c r="Q267" s="61"/>
    </x:row>
    <x:row r="268">
      <x:c r="A268" s="61"/>
      <x:c r="B268" s="61"/>
      <x:c r="C268" s="61"/>
      <x:c r="D268" s="61"/>
      <x:c r="E268" s="61"/>
      <x:c r="F268" s="61"/>
      <x:c r="G268" s="61"/>
      <x:c r="H268" s="61"/>
      <x:c r="I268" s="61"/>
      <x:c r="J268" s="61"/>
      <x:c r="K268" s="61"/>
      <x:c r="L268" s="61"/>
      <x:c r="M268" s="61"/>
      <x:c r="N268" s="61"/>
      <x:c r="O268" s="61"/>
      <x:c r="P268" s="61"/>
      <x:c r="Q268" s="61"/>
    </x:row>
    <x:row r="269">
      <x:c r="A269" s="61"/>
      <x:c r="B269" s="61"/>
      <x:c r="C269" s="61"/>
      <x:c r="D269" s="61"/>
      <x:c r="E269" s="61"/>
      <x:c r="F269" s="61"/>
      <x:c r="G269" s="61"/>
      <x:c r="H269" s="61"/>
      <x:c r="I269" s="61"/>
      <x:c r="J269" s="61"/>
      <x:c r="K269" s="61"/>
      <x:c r="L269" s="61"/>
      <x:c r="M269" s="61"/>
      <x:c r="N269" s="61"/>
      <x:c r="O269" s="61"/>
      <x:c r="P269" s="61"/>
      <x:c r="Q269" s="61"/>
    </x:row>
    <x:row r="270">
      <x:c r="A270" s="61"/>
      <x:c r="B270" s="61"/>
      <x:c r="C270" s="61"/>
      <x:c r="D270" s="61"/>
      <x:c r="E270" s="61"/>
      <x:c r="F270" s="61"/>
      <x:c r="G270" s="61"/>
      <x:c r="H270" s="61"/>
      <x:c r="I270" s="61"/>
      <x:c r="J270" s="61"/>
      <x:c r="K270" s="61"/>
      <x:c r="L270" s="61"/>
      <x:c r="M270" s="61"/>
      <x:c r="N270" s="61"/>
      <x:c r="O270" s="61"/>
      <x:c r="P270" s="61"/>
      <x:c r="Q270" s="61"/>
    </x:row>
    <x:row r="271">
      <x:c r="A271" s="61"/>
      <x:c r="B271" s="61"/>
      <x:c r="C271" s="61"/>
      <x:c r="D271" s="61"/>
      <x:c r="E271" s="61"/>
      <x:c r="F271" s="61"/>
      <x:c r="G271" s="61"/>
      <x:c r="H271" s="61"/>
      <x:c r="I271" s="61"/>
      <x:c r="J271" s="61"/>
      <x:c r="K271" s="61"/>
      <x:c r="L271" s="61"/>
      <x:c r="M271" s="61"/>
      <x:c r="N271" s="61"/>
      <x:c r="O271" s="61"/>
      <x:c r="P271" s="61"/>
      <x:c r="Q271" s="61"/>
    </x:row>
    <x:row r="272">
      <x:c r="A272" s="61"/>
      <x:c r="B272" s="61"/>
      <x:c r="C272" s="61"/>
      <x:c r="D272" s="61"/>
      <x:c r="E272" s="61"/>
      <x:c r="F272" s="61"/>
      <x:c r="G272" s="61"/>
      <x:c r="H272" s="61"/>
      <x:c r="I272" s="61"/>
      <x:c r="J272" s="61"/>
      <x:c r="K272" s="61"/>
      <x:c r="L272" s="61"/>
      <x:c r="M272" s="61"/>
      <x:c r="N272" s="61"/>
      <x:c r="O272" s="61"/>
      <x:c r="P272" s="61"/>
      <x:c r="Q272" s="61"/>
    </x:row>
    <x:row r="273">
      <x:c r="A273" s="61"/>
      <x:c r="B273" s="61"/>
      <x:c r="C273" s="61"/>
      <x:c r="D273" s="61"/>
      <x:c r="E273" s="61"/>
      <x:c r="F273" s="61"/>
      <x:c r="G273" s="61"/>
      <x:c r="H273" s="61"/>
      <x:c r="I273" s="61"/>
      <x:c r="J273" s="61"/>
      <x:c r="K273" s="61"/>
      <x:c r="L273" s="61"/>
      <x:c r="M273" s="61"/>
      <x:c r="N273" s="61"/>
      <x:c r="O273" s="61"/>
      <x:c r="P273" s="61"/>
      <x:c r="Q273" s="61"/>
    </x:row>
    <x:row r="274">
      <x:c r="A274" s="61"/>
      <x:c r="B274" s="61"/>
      <x:c r="C274" s="61"/>
      <x:c r="D274" s="61"/>
      <x:c r="E274" s="61"/>
      <x:c r="F274" s="61"/>
      <x:c r="G274" s="61"/>
      <x:c r="H274" s="61"/>
      <x:c r="I274" s="61"/>
      <x:c r="J274" s="61"/>
      <x:c r="K274" s="61"/>
      <x:c r="L274" s="61"/>
      <x:c r="M274" s="61"/>
      <x:c r="N274" s="61"/>
      <x:c r="O274" s="61"/>
      <x:c r="P274" s="61"/>
      <x:c r="Q274" s="61"/>
    </x:row>
    <x:row r="275">
      <x:c r="A275" s="61"/>
      <x:c r="B275" s="61"/>
      <x:c r="C275" s="61"/>
      <x:c r="D275" s="61"/>
      <x:c r="E275" s="61"/>
      <x:c r="F275" s="61"/>
      <x:c r="G275" s="61"/>
      <x:c r="H275" s="61"/>
      <x:c r="I275" s="61"/>
      <x:c r="J275" s="61"/>
      <x:c r="K275" s="61"/>
      <x:c r="L275" s="61"/>
      <x:c r="M275" s="61"/>
      <x:c r="N275" s="61"/>
      <x:c r="O275" s="61"/>
      <x:c r="P275" s="61"/>
      <x:c r="Q275" s="61"/>
    </x:row>
    <x:row r="276">
      <x:c r="A276" s="61"/>
      <x:c r="B276" s="61"/>
      <x:c r="C276" s="61"/>
      <x:c r="D276" s="61"/>
      <x:c r="E276" s="61"/>
      <x:c r="F276" s="61"/>
      <x:c r="G276" s="61"/>
      <x:c r="H276" s="61"/>
      <x:c r="I276" s="61"/>
      <x:c r="J276" s="61"/>
      <x:c r="K276" s="61"/>
      <x:c r="L276" s="61"/>
      <x:c r="M276" s="61"/>
      <x:c r="N276" s="61"/>
      <x:c r="O276" s="61"/>
      <x:c r="P276" s="61"/>
      <x:c r="Q276" s="61"/>
    </x:row>
    <x:row r="277">
      <x:c r="A277" s="61"/>
      <x:c r="B277" s="61"/>
      <x:c r="C277" s="61"/>
      <x:c r="D277" s="61"/>
      <x:c r="E277" s="61"/>
      <x:c r="F277" s="61"/>
      <x:c r="G277" s="61"/>
      <x:c r="H277" s="61"/>
      <x:c r="I277" s="61"/>
      <x:c r="J277" s="61"/>
      <x:c r="K277" s="61"/>
      <x:c r="L277" s="61"/>
      <x:c r="M277" s="61"/>
      <x:c r="N277" s="61"/>
      <x:c r="O277" s="61"/>
      <x:c r="P277" s="61"/>
      <x:c r="Q277" s="61"/>
    </x:row>
    <x:row r="278">
      <x:c r="A278" s="61"/>
      <x:c r="B278" s="61"/>
      <x:c r="C278" s="61"/>
      <x:c r="D278" s="61"/>
      <x:c r="E278" s="61"/>
      <x:c r="F278" s="61"/>
      <x:c r="G278" s="61"/>
      <x:c r="H278" s="61"/>
      <x:c r="I278" s="61"/>
      <x:c r="J278" s="61"/>
      <x:c r="K278" s="61"/>
      <x:c r="L278" s="61"/>
      <x:c r="M278" s="61"/>
      <x:c r="N278" s="61"/>
      <x:c r="O278" s="61"/>
      <x:c r="P278" s="61"/>
      <x:c r="Q278" s="61"/>
    </x:row>
    <x:row r="279">
      <x:c r="A279" s="61"/>
      <x:c r="B279" s="61"/>
      <x:c r="C279" s="61"/>
      <x:c r="D279" s="61"/>
      <x:c r="E279" s="61"/>
      <x:c r="F279" s="61"/>
      <x:c r="G279" s="61"/>
      <x:c r="H279" s="61"/>
      <x:c r="I279" s="61"/>
      <x:c r="J279" s="61"/>
      <x:c r="K279" s="61"/>
      <x:c r="L279" s="61"/>
      <x:c r="M279" s="61"/>
      <x:c r="N279" s="61"/>
      <x:c r="O279" s="61"/>
      <x:c r="P279" s="61"/>
      <x:c r="Q279" s="61"/>
    </x:row>
    <x:row r="280">
      <x:c r="A280" s="61"/>
      <x:c r="B280" s="61"/>
      <x:c r="C280" s="61"/>
      <x:c r="D280" s="61"/>
      <x:c r="E280" s="61"/>
      <x:c r="F280" s="61"/>
      <x:c r="G280" s="61"/>
      <x:c r="H280" s="61"/>
      <x:c r="I280" s="61"/>
      <x:c r="J280" s="61"/>
      <x:c r="K280" s="61"/>
      <x:c r="L280" s="61"/>
      <x:c r="M280" s="61"/>
      <x:c r="N280" s="61"/>
      <x:c r="O280" s="61"/>
      <x:c r="P280" s="61"/>
      <x:c r="Q280" s="61"/>
    </x:row>
    <x:row r="281">
      <x:c r="A281" s="61"/>
      <x:c r="B281" s="61"/>
      <x:c r="C281" s="61"/>
      <x:c r="D281" s="61"/>
      <x:c r="E281" s="61"/>
      <x:c r="F281" s="61"/>
      <x:c r="G281" s="61"/>
      <x:c r="H281" s="61"/>
      <x:c r="I281" s="61"/>
      <x:c r="J281" s="61"/>
      <x:c r="K281" s="61"/>
      <x:c r="L281" s="61"/>
      <x:c r="M281" s="61"/>
      <x:c r="N281" s="61"/>
      <x:c r="O281" s="61"/>
      <x:c r="P281" s="61"/>
      <x:c r="Q281" s="61"/>
    </x:row>
    <x:row r="282">
      <x:c r="A282" s="61"/>
      <x:c r="B282" s="61"/>
      <x:c r="C282" s="61"/>
      <x:c r="D282" s="61"/>
      <x:c r="E282" s="61"/>
      <x:c r="F282" s="61"/>
      <x:c r="G282" s="61"/>
      <x:c r="H282" s="61"/>
      <x:c r="I282" s="61"/>
      <x:c r="J282" s="61"/>
      <x:c r="K282" s="61"/>
      <x:c r="L282" s="61"/>
      <x:c r="M282" s="61"/>
      <x:c r="N282" s="61"/>
      <x:c r="O282" s="61"/>
      <x:c r="P282" s="61"/>
      <x:c r="Q282" s="61"/>
    </x:row>
    <x:row r="283">
      <x:c r="A283" s="61"/>
      <x:c r="B283" s="61"/>
      <x:c r="C283" s="61"/>
      <x:c r="D283" s="61"/>
      <x:c r="E283" s="61"/>
      <x:c r="F283" s="61"/>
      <x:c r="G283" s="61"/>
      <x:c r="H283" s="61"/>
      <x:c r="I283" s="61"/>
      <x:c r="J283" s="61"/>
      <x:c r="K283" s="61"/>
      <x:c r="L283" s="61"/>
      <x:c r="M283" s="61"/>
      <x:c r="N283" s="61"/>
      <x:c r="O283" s="61"/>
      <x:c r="P283" s="61"/>
      <x:c r="Q283" s="61"/>
    </x:row>
    <x:row r="284">
      <x:c r="A284" s="61"/>
      <x:c r="B284" s="61"/>
      <x:c r="C284" s="61"/>
      <x:c r="D284" s="61"/>
      <x:c r="E284" s="61"/>
      <x:c r="F284" s="61"/>
      <x:c r="G284" s="61"/>
      <x:c r="H284" s="61"/>
      <x:c r="I284" s="61"/>
      <x:c r="J284" s="61"/>
      <x:c r="K284" s="61"/>
      <x:c r="L284" s="61"/>
      <x:c r="M284" s="61"/>
      <x:c r="N284" s="61"/>
      <x:c r="O284" s="61"/>
      <x:c r="P284" s="61"/>
      <x:c r="Q284" s="61"/>
    </x:row>
    <x:row r="285">
      <x:c r="A285" s="61"/>
      <x:c r="B285" s="61"/>
      <x:c r="C285" s="61"/>
      <x:c r="D285" s="61"/>
      <x:c r="E285" s="61"/>
      <x:c r="F285" s="61"/>
      <x:c r="G285" s="61"/>
      <x:c r="H285" s="61"/>
      <x:c r="I285" s="61"/>
      <x:c r="J285" s="61"/>
      <x:c r="K285" s="61"/>
      <x:c r="L285" s="61"/>
      <x:c r="M285" s="61"/>
      <x:c r="N285" s="61"/>
      <x:c r="O285" s="61"/>
      <x:c r="P285" s="61"/>
      <x:c r="Q285" s="61"/>
    </x:row>
    <x:row r="286">
      <x:c r="A286" s="61"/>
      <x:c r="B286" s="61"/>
      <x:c r="C286" s="61"/>
      <x:c r="D286" s="61"/>
      <x:c r="E286" s="61"/>
      <x:c r="F286" s="61"/>
      <x:c r="G286" s="61"/>
      <x:c r="H286" s="61"/>
      <x:c r="I286" s="61"/>
      <x:c r="J286" s="61"/>
      <x:c r="K286" s="61"/>
      <x:c r="L286" s="61"/>
      <x:c r="M286" s="61"/>
      <x:c r="N286" s="61"/>
      <x:c r="O286" s="61"/>
      <x:c r="P286" s="61"/>
      <x:c r="Q286" s="61"/>
    </x:row>
    <x:row r="287">
      <x:c r="A287" s="61"/>
      <x:c r="B287" s="61"/>
      <x:c r="C287" s="61"/>
      <x:c r="D287" s="61"/>
      <x:c r="E287" s="61"/>
      <x:c r="F287" s="61"/>
      <x:c r="G287" s="61"/>
      <x:c r="H287" s="61"/>
      <x:c r="I287" s="61"/>
      <x:c r="J287" s="61"/>
      <x:c r="K287" s="61"/>
      <x:c r="L287" s="61"/>
      <x:c r="M287" s="61"/>
      <x:c r="N287" s="61"/>
      <x:c r="O287" s="61"/>
      <x:c r="P287" s="61"/>
      <x:c r="Q287" s="61"/>
    </x:row>
    <x:row r="288">
      <x:c r="A288" s="61"/>
      <x:c r="B288" s="61"/>
      <x:c r="C288" s="61"/>
      <x:c r="D288" s="61"/>
      <x:c r="E288" s="61"/>
      <x:c r="F288" s="61"/>
      <x:c r="G288" s="61"/>
      <x:c r="H288" s="61"/>
      <x:c r="I288" s="61"/>
      <x:c r="J288" s="61"/>
      <x:c r="K288" s="61"/>
      <x:c r="L288" s="61"/>
      <x:c r="M288" s="61"/>
      <x:c r="N288" s="61"/>
      <x:c r="O288" s="61"/>
      <x:c r="P288" s="61"/>
      <x:c r="Q288" s="61"/>
    </x:row>
    <x:row r="289">
      <x:c r="A289" s="61"/>
      <x:c r="B289" s="61"/>
      <x:c r="C289" s="61"/>
      <x:c r="D289" s="61"/>
      <x:c r="E289" s="61"/>
      <x:c r="F289" s="61"/>
      <x:c r="G289" s="61"/>
      <x:c r="H289" s="61"/>
      <x:c r="I289" s="61"/>
      <x:c r="J289" s="61"/>
      <x:c r="K289" s="61"/>
      <x:c r="L289" s="61"/>
      <x:c r="M289" s="61"/>
      <x:c r="N289" s="61"/>
      <x:c r="O289" s="61"/>
      <x:c r="P289" s="61"/>
      <x:c r="Q289" s="61"/>
    </x:row>
    <x:row r="290">
      <x:c r="A290" s="61"/>
      <x:c r="B290" s="61"/>
      <x:c r="C290" s="61"/>
      <x:c r="D290" s="61"/>
      <x:c r="E290" s="61"/>
      <x:c r="F290" s="61"/>
      <x:c r="G290" s="61"/>
      <x:c r="H290" s="61"/>
      <x:c r="I290" s="61"/>
      <x:c r="J290" s="61"/>
      <x:c r="K290" s="61"/>
      <x:c r="L290" s="61"/>
      <x:c r="M290" s="61"/>
      <x:c r="N290" s="61"/>
      <x:c r="O290" s="61"/>
      <x:c r="P290" s="61"/>
      <x:c r="Q290" s="61"/>
    </x:row>
    <x:row r="291">
      <x:c r="A291" s="61"/>
      <x:c r="B291" s="61"/>
      <x:c r="C291" s="61"/>
      <x:c r="D291" s="61"/>
      <x:c r="E291" s="61"/>
      <x:c r="F291" s="61"/>
      <x:c r="G291" s="61"/>
      <x:c r="H291" s="61"/>
      <x:c r="I291" s="61"/>
      <x:c r="J291" s="61"/>
      <x:c r="K291" s="61"/>
      <x:c r="L291" s="61"/>
      <x:c r="M291" s="61"/>
      <x:c r="N291" s="61"/>
      <x:c r="O291" s="61"/>
      <x:c r="P291" s="61"/>
      <x:c r="Q291" s="61"/>
    </x:row>
    <x:row r="292">
      <x:c r="A292" s="61"/>
      <x:c r="B292" s="61"/>
      <x:c r="C292" s="61"/>
      <x:c r="D292" s="61"/>
      <x:c r="E292" s="61"/>
      <x:c r="F292" s="61"/>
      <x:c r="G292" s="61"/>
      <x:c r="H292" s="61"/>
      <x:c r="I292" s="61"/>
      <x:c r="J292" s="61"/>
      <x:c r="K292" s="61"/>
      <x:c r="L292" s="61"/>
      <x:c r="M292" s="61"/>
      <x:c r="N292" s="61"/>
      <x:c r="O292" s="61"/>
      <x:c r="P292" s="61"/>
      <x:c r="Q292" s="61"/>
    </x:row>
    <x:row r="293">
      <x:c r="A293" s="61"/>
      <x:c r="B293" s="61"/>
      <x:c r="C293" s="61"/>
      <x:c r="D293" s="61"/>
      <x:c r="E293" s="61"/>
      <x:c r="F293" s="61"/>
      <x:c r="G293" s="61"/>
      <x:c r="H293" s="61"/>
      <x:c r="I293" s="61"/>
      <x:c r="J293" s="61"/>
      <x:c r="K293" s="61"/>
      <x:c r="L293" s="61"/>
      <x:c r="M293" s="61"/>
      <x:c r="N293" s="61"/>
      <x:c r="O293" s="61"/>
      <x:c r="P293" s="61"/>
      <x:c r="Q293" s="61"/>
    </x:row>
    <x:row r="294">
      <x:c r="A294" s="61"/>
      <x:c r="B294" s="61"/>
      <x:c r="C294" s="61"/>
      <x:c r="D294" s="61"/>
      <x:c r="E294" s="61"/>
      <x:c r="F294" s="61"/>
      <x:c r="G294" s="61"/>
      <x:c r="H294" s="61"/>
      <x:c r="I294" s="61"/>
      <x:c r="J294" s="61"/>
      <x:c r="K294" s="61"/>
      <x:c r="L294" s="61"/>
      <x:c r="M294" s="61"/>
      <x:c r="N294" s="61"/>
      <x:c r="O294" s="61"/>
      <x:c r="P294" s="61"/>
      <x:c r="Q294" s="61"/>
    </x:row>
    <x:row r="295">
      <x:c r="A295" s="61"/>
      <x:c r="B295" s="61"/>
      <x:c r="C295" s="61"/>
      <x:c r="D295" s="61"/>
      <x:c r="E295" s="61"/>
      <x:c r="F295" s="61"/>
      <x:c r="G295" s="61"/>
      <x:c r="H295" s="61"/>
      <x:c r="I295" s="61"/>
      <x:c r="J295" s="61"/>
      <x:c r="K295" s="61"/>
      <x:c r="L295" s="61"/>
      <x:c r="M295" s="61"/>
      <x:c r="N295" s="61"/>
      <x:c r="O295" s="61"/>
      <x:c r="P295" s="61"/>
      <x:c r="Q295" s="61"/>
    </x:row>
    <x:row r="296">
      <x:c r="A296" s="61"/>
      <x:c r="B296" s="61"/>
      <x:c r="C296" s="61"/>
      <x:c r="D296" s="61"/>
      <x:c r="E296" s="61"/>
      <x:c r="F296" s="61"/>
      <x:c r="G296" s="61"/>
      <x:c r="H296" s="61"/>
      <x:c r="I296" s="61"/>
      <x:c r="J296" s="61"/>
      <x:c r="K296" s="61"/>
      <x:c r="L296" s="61"/>
      <x:c r="M296" s="61"/>
      <x:c r="N296" s="61"/>
      <x:c r="O296" s="61"/>
      <x:c r="P296" s="61"/>
      <x:c r="Q296" s="61"/>
    </x:row>
    <x:row r="297">
      <x:c r="A297" s="61"/>
      <x:c r="B297" s="61"/>
      <x:c r="C297" s="61"/>
      <x:c r="D297" s="61"/>
      <x:c r="E297" s="61"/>
      <x:c r="F297" s="61"/>
      <x:c r="G297" s="61"/>
      <x:c r="H297" s="61"/>
      <x:c r="I297" s="61"/>
      <x:c r="J297" s="61"/>
      <x:c r="K297" s="61"/>
      <x:c r="L297" s="61"/>
      <x:c r="M297" s="61"/>
      <x:c r="N297" s="61"/>
      <x:c r="O297" s="61"/>
      <x:c r="P297" s="61"/>
      <x:c r="Q297" s="61"/>
    </x:row>
    <x:row r="298">
      <x:c r="A298" s="61"/>
      <x:c r="B298" s="61"/>
      <x:c r="C298" s="61"/>
      <x:c r="D298" s="61"/>
      <x:c r="E298" s="61"/>
      <x:c r="F298" s="61"/>
      <x:c r="G298" s="61"/>
      <x:c r="H298" s="61"/>
      <x:c r="I298" s="61"/>
      <x:c r="J298" s="61"/>
      <x:c r="K298" s="61"/>
      <x:c r="L298" s="61"/>
      <x:c r="M298" s="61"/>
      <x:c r="N298" s="61"/>
      <x:c r="O298" s="61"/>
      <x:c r="P298" s="61"/>
      <x:c r="Q298" s="61"/>
    </x:row>
    <x:row r="299">
      <x:c r="A299" s="61"/>
      <x:c r="B299" s="61"/>
      <x:c r="C299" s="61"/>
      <x:c r="D299" s="61"/>
      <x:c r="E299" s="61"/>
      <x:c r="F299" s="61"/>
      <x:c r="G299" s="61"/>
      <x:c r="H299" s="61"/>
      <x:c r="I299" s="61"/>
      <x:c r="J299" s="61"/>
      <x:c r="K299" s="61"/>
      <x:c r="L299" s="61"/>
      <x:c r="M299" s="61"/>
      <x:c r="N299" s="61"/>
      <x:c r="O299" s="61"/>
      <x:c r="P299" s="61"/>
      <x:c r="Q299" s="61"/>
    </x:row>
    <x:row r="300">
      <x:c r="A300" s="61"/>
      <x:c r="B300" s="61"/>
      <x:c r="C300" s="61"/>
      <x:c r="D300" s="61"/>
      <x:c r="E300" s="61"/>
      <x:c r="F300" s="61"/>
      <x:c r="G300" s="61"/>
      <x:c r="H300" s="61"/>
      <x:c r="I300" s="61"/>
      <x:c r="J300" s="61"/>
      <x:c r="K300" s="61"/>
      <x:c r="L300" s="61"/>
      <x:c r="M300" s="61"/>
      <x:c r="N300" s="61"/>
      <x:c r="O300" s="61"/>
      <x:c r="P300" s="61"/>
      <x:c r="Q300" s="61"/>
    </x:row>
  </x:sheetData>
  <x:conditionalFormatting sqref="H2:H200">
    <x:cfRule type="expression" dxfId="9" priority="1">
      <x:formula>H2="P0"</x:formula>
    </x:cfRule>
  </x:conditionalFormatting>
  <x:conditionalFormatting sqref="I2:I200">
    <x:cfRule type="expression" dxfId="10" priority="2">
      <x:formula>I2="Concluído"</x:formula>
    </x:cfRule>
  </x:conditionalFormatting>
  <x:dataValidations count="3">
    <x:dataValidation type="list" sqref="H2:H200">
      <x:formula1>"P0,P1,P2"</x:formula1>
    </x:dataValidation>
    <x:dataValidation type="list" sqref="I2:I200">
      <x:formula1>"Não iniciado,Em andamento,Em validação,Bloqueado,Concluído"</x:formula1>
    </x:dataValidation>
    <x:dataValidation type="list" sqref="M2:M200">
      <x:formula1>"Pendente,Passou,Falhou,N/A"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b6681e004743d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5" hidden="0" customWidth="1"/>
    <x:col min="4" max="4" width="52" hidden="0" customWidth="1"/>
    <x:col min="5" max="5" width="16" hidden="0" customWidth="1"/>
  </x:cols>
  <x:sheetData>
    <x:row r="1">
      <x:c r="A1" s="60" t="str">
        <x:v>Período</x:v>
      </x:c>
      <x:c r="B1" s="60" t="str">
        <x:v>Fase</x:v>
      </x:c>
      <x:c r="C1" s="60" t="str">
        <x:v>Meta de saída</x:v>
      </x:c>
      <x:c r="D1" s="60" t="str">
        <x:v>Regra para avançar</x:v>
      </x:c>
      <x:c r="E1" s="60" t="str">
        <x:v>Status</x:v>
      </x:c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</x:row>
    <x:row r="2">
      <x:c r="A2" s="61" t="str">
        <x:v>24/08–30/08</x:v>
      </x:c>
      <x:c r="B2" s="61" t="str">
        <x:v>1. Estabilização</x:v>
      </x:c>
      <x:c r="C2" s="64" t="str">
        <x:v>Web + Mobile sem divergências críticas</x:v>
      </x:c>
      <x:c r="D2" s="64" t="str">
        <x:v>Carteira e pagamentos combinados corrigidos; zero P0 estrutural</x:v>
      </x:c>
      <x:c r="E2" s="61" t="str">
        <x:v>Em andamento</x:v>
      </x:c>
      <x:c r="F2" s="61"/>
      <x:c r="G2" s="61"/>
      <x:c r="H2" s="61"/>
      <x:c r="I2" s="61"/>
      <x:c r="J2" s="61"/>
      <x:c r="K2" s="61"/>
      <x:c r="L2" s="61"/>
      <x:c r="M2" s="61"/>
      <x:c r="N2" s="61"/>
      <x:c r="O2" s="61"/>
      <x:c r="P2" s="61"/>
      <x:c r="Q2" s="61"/>
    </x:row>
    <x:row r="3">
      <x:c r="A3" s="61" t="str">
        <x:v>31/08–06/09</x:v>
      </x:c>
      <x:c r="B3" s="61" t="str">
        <x:v>2. Comercial</x:v>
      </x:c>
      <x:c r="C3" s="64" t="str">
        <x:v>Operação comercial redonda</x:v>
      </x:c>
      <x:c r="D3" s="64" t="str">
        <x:v>Venda/estoque/carteira/recibo de ponta a ponta passam</x:v>
      </x:c>
      <x:c r="E3" s="61" t="str">
        <x:v>Não iniciado</x:v>
      </x:c>
      <x:c r="F3" s="61"/>
      <x:c r="G3" s="61"/>
      <x:c r="H3" s="61"/>
      <x:c r="I3" s="61"/>
      <x:c r="J3" s="61"/>
      <x:c r="K3" s="61"/>
      <x:c r="L3" s="61"/>
      <x:c r="M3" s="61"/>
      <x:c r="N3" s="61"/>
      <x:c r="O3" s="61"/>
      <x:c r="P3" s="61"/>
      <x:c r="Q3" s="61"/>
    </x:row>
    <x:row r="4">
      <x:c r="A4" s="61" t="str">
        <x:v>07/09–13/09</x:v>
      </x:c>
      <x:c r="B4" s="61" t="str">
        <x:v>3. Fiscal e integrações</x:v>
      </x:c>
      <x:c r="C4" s="64" t="str">
        <x:v>Fiscal, PIX e impressão confiáveis</x:v>
      </x:c>
      <x:c r="D4" s="64" t="str">
        <x:v>Emissão homologada, reconciliação segura e impressão correta</x:v>
      </x:c>
      <x:c r="E4" s="61" t="str">
        <x:v>Não iniciado</x:v>
      </x:c>
      <x:c r="F4" s="61"/>
      <x:c r="G4" s="61"/>
      <x:c r="H4" s="61"/>
      <x:c r="I4" s="61"/>
      <x:c r="J4" s="61"/>
      <x:c r="K4" s="61"/>
      <x:c r="L4" s="61"/>
      <x:c r="M4" s="61"/>
      <x:c r="N4" s="61"/>
      <x:c r="O4" s="61"/>
      <x:c r="P4" s="61"/>
      <x:c r="Q4" s="61"/>
    </x:row>
    <x:row r="5">
      <x:c r="A5" s="61" t="str">
        <x:v>14/09–19/09</x:v>
      </x:c>
      <x:c r="B5" s="61" t="str">
        <x:v>4. Testes reais</x:v>
      </x:c>
      <x:c r="C5" s="64" t="str">
        <x:v>Release candidata</x:v>
      </x:c>
      <x:c r="D5" s="64" t="str">
        <x:v>Zero P0; piloto sem edição manual de banco</x:v>
      </x:c>
      <x:c r="E5" s="61" t="str">
        <x:v>Não iniciado</x:v>
      </x:c>
      <x:c r="F5" s="61"/>
      <x:c r="G5" s="61"/>
      <x:c r="H5" s="61"/>
      <x:c r="I5" s="61"/>
      <x:c r="J5" s="61"/>
      <x:c r="K5" s="61"/>
      <x:c r="L5" s="61"/>
      <x:c r="M5" s="61"/>
      <x:c r="N5" s="61"/>
      <x:c r="O5" s="61"/>
      <x:c r="P5" s="61"/>
      <x:c r="Q5" s="61"/>
    </x:row>
    <x:row r="6">
      <x:c r="A6" s="61" t="str">
        <x:v>20/09–24/09</x:v>
      </x:c>
      <x:c r="B6" s="61" t="str">
        <x:v>5. Produção e freeze</x:v>
      </x:c>
      <x:c r="C6" s="64" t="str">
        <x:v>Produção pronta</x:v>
      </x:c>
      <x:c r="D6" s="64" t="str">
        <x:v>Freeze, backup, deploy, segurança, smoke test, GO</x:v>
      </x:c>
      <x:c r="E6" s="61" t="str">
        <x:v>Não iniciado</x:v>
      </x:c>
      <x:c r="F6" s="61"/>
      <x:c r="G6" s="61"/>
      <x:c r="H6" s="61"/>
      <x:c r="I6" s="61"/>
      <x:c r="J6" s="61"/>
      <x:c r="K6" s="61"/>
      <x:c r="L6" s="61"/>
      <x:c r="M6" s="61"/>
      <x:c r="N6" s="61"/>
      <x:c r="O6" s="61"/>
      <x:c r="P6" s="61"/>
      <x:c r="Q6" s="61"/>
    </x:row>
    <x:row r="7">
      <x:c r="A7" s="61" t="str">
        <x:v>25/09</x:v>
      </x:c>
      <x:c r="B7" s="61" t="str">
        <x:v>6. Lançamento</x:v>
      </x:c>
      <x:c r="C7" s="64" t="str">
        <x:v>UltraPDV lançado</x:v>
      </x:c>
      <x:c r="D7" s="64" t="str">
        <x:v>Monitoramento ativo e incidentes controlados</x:v>
      </x:c>
      <x:c r="E7" s="61" t="str">
        <x:v>Não iniciado</x:v>
      </x:c>
      <x:c r="F7" s="61"/>
      <x:c r="G7" s="61"/>
      <x:c r="H7" s="61"/>
      <x:c r="I7" s="61"/>
      <x:c r="J7" s="61"/>
      <x:c r="K7" s="61"/>
      <x:c r="L7" s="61"/>
      <x:c r="M7" s="61"/>
      <x:c r="N7" s="61"/>
      <x:c r="O7" s="61"/>
      <x:c r="P7" s="61"/>
      <x:c r="Q7" s="61"/>
    </x:row>
    <x:row r="8">
      <x:c r="A8" s="61"/>
      <x:c r="B8" s="61"/>
      <x:c r="C8" s="61"/>
      <x:c r="D8" s="61"/>
      <x:c r="E8" s="61"/>
      <x:c r="F8" s="61"/>
      <x:c r="G8" s="61"/>
      <x:c r="H8" s="61"/>
      <x:c r="I8" s="61"/>
      <x:c r="J8" s="61"/>
      <x:c r="K8" s="61"/>
      <x:c r="L8" s="61"/>
      <x:c r="M8" s="61"/>
      <x:c r="N8" s="61"/>
      <x:c r="O8" s="61"/>
      <x:c r="P8" s="61"/>
      <x:c r="Q8" s="61"/>
    </x:row>
    <x:row r="9">
      <x:c r="A9" s="61"/>
      <x:c r="B9" s="61"/>
      <x:c r="C9" s="61"/>
      <x:c r="D9" s="61"/>
      <x:c r="E9" s="61"/>
      <x:c r="F9" s="61"/>
      <x:c r="G9" s="61"/>
      <x:c r="H9" s="61"/>
      <x:c r="I9" s="61"/>
      <x:c r="J9" s="61"/>
      <x:c r="K9" s="61"/>
      <x:c r="L9" s="61"/>
      <x:c r="M9" s="61"/>
      <x:c r="N9" s="61"/>
      <x:c r="O9" s="61"/>
      <x:c r="P9" s="61"/>
      <x:c r="Q9" s="61"/>
    </x:row>
    <x:row r="10">
      <x:c r="A10" s="61"/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61"/>
      <x:c r="N10" s="61"/>
      <x:c r="O10" s="61"/>
      <x:c r="P10" s="61"/>
      <x:c r="Q10" s="61"/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  <x:c r="M11" s="61"/>
      <x:c r="N11" s="61"/>
      <x:c r="O11" s="61"/>
      <x:c r="P11" s="61"/>
      <x:c r="Q11" s="61"/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61"/>
      <x:c r="M12" s="61"/>
      <x:c r="N12" s="61"/>
      <x:c r="O12" s="61"/>
      <x:c r="P12" s="61"/>
      <x:c r="Q12" s="61"/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1"/>
      <x:c r="N13" s="61"/>
      <x:c r="O13" s="61"/>
      <x:c r="P13" s="61"/>
      <x:c r="Q13" s="61"/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1"/>
      <x:c r="N14" s="61"/>
      <x:c r="O14" s="61"/>
      <x:c r="P14" s="61"/>
      <x:c r="Q14" s="61"/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1"/>
      <x:c r="N15" s="61"/>
      <x:c r="O15" s="61"/>
      <x:c r="P15" s="61"/>
      <x:c r="Q15" s="61"/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1"/>
      <x:c r="N16" s="61"/>
      <x:c r="O16" s="61"/>
      <x:c r="P16" s="61"/>
      <x:c r="Q16" s="61"/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1"/>
      <x:c r="N17" s="61"/>
      <x:c r="O17" s="61"/>
      <x:c r="P17" s="61"/>
      <x:c r="Q17" s="61"/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1"/>
      <x:c r="P18" s="61"/>
      <x:c r="Q18" s="61"/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1"/>
      <x:c r="N19" s="61"/>
      <x:c r="O19" s="61"/>
      <x:c r="P19" s="61"/>
      <x:c r="Q19" s="61"/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1"/>
      <x:c r="P20" s="61"/>
      <x:c r="Q20" s="61"/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1"/>
      <x:c r="P21" s="61"/>
      <x:c r="Q21" s="61"/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1"/>
      <x:c r="P22" s="61"/>
      <x:c r="Q22" s="61"/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1"/>
      <x:c r="P23" s="61"/>
      <x:c r="Q23" s="61"/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  <x:c r="P24" s="61"/>
      <x:c r="Q24" s="61"/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1"/>
      <x:c r="P25" s="61"/>
      <x:c r="Q25" s="61"/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1"/>
      <x:c r="M26" s="61"/>
      <x:c r="N26" s="61"/>
      <x:c r="O26" s="61"/>
      <x:c r="P26" s="61"/>
      <x:c r="Q26" s="61"/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1"/>
      <x:c r="M27" s="61"/>
      <x:c r="N27" s="61"/>
      <x:c r="O27" s="61"/>
      <x:c r="P27" s="61"/>
      <x:c r="Q27" s="61"/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61"/>
      <x:c r="M28" s="61"/>
      <x:c r="N28" s="61"/>
      <x:c r="O28" s="61"/>
      <x:c r="P28" s="61"/>
      <x:c r="Q28" s="61"/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1"/>
      <x:c r="M29" s="61"/>
      <x:c r="N29" s="61"/>
      <x:c r="O29" s="61"/>
      <x:c r="P29" s="61"/>
      <x:c r="Q29" s="61"/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1"/>
      <x:c r="M30" s="61"/>
      <x:c r="N30" s="61"/>
      <x:c r="O30" s="61"/>
      <x:c r="P30" s="61"/>
      <x:c r="Q30" s="61"/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1"/>
      <x:c r="M31" s="61"/>
      <x:c r="N31" s="61"/>
      <x:c r="O31" s="61"/>
      <x:c r="P31" s="61"/>
      <x:c r="Q31" s="61"/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1"/>
      <x:c r="N32" s="61"/>
      <x:c r="O32" s="61"/>
      <x:c r="P32" s="61"/>
      <x:c r="Q32" s="61"/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1"/>
      <x:c r="N33" s="61"/>
      <x:c r="O33" s="61"/>
      <x:c r="P33" s="61"/>
      <x:c r="Q33" s="61"/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1"/>
      <x:c r="M34" s="61"/>
      <x:c r="N34" s="61"/>
      <x:c r="O34" s="61"/>
      <x:c r="P34" s="61"/>
      <x:c r="Q34" s="61"/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1"/>
      <x:c r="M35" s="61"/>
      <x:c r="N35" s="61"/>
      <x:c r="O35" s="61"/>
      <x:c r="P35" s="61"/>
      <x:c r="Q35" s="61"/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1"/>
      <x:c r="M36" s="61"/>
      <x:c r="N36" s="61"/>
      <x:c r="O36" s="61"/>
      <x:c r="P36" s="61"/>
      <x:c r="Q36" s="61"/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1"/>
      <x:c r="M37" s="61"/>
      <x:c r="N37" s="61"/>
      <x:c r="O37" s="61"/>
      <x:c r="P37" s="61"/>
      <x:c r="Q37" s="61"/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1"/>
      <x:c r="M38" s="61"/>
      <x:c r="N38" s="61"/>
      <x:c r="O38" s="61"/>
      <x:c r="P38" s="61"/>
      <x:c r="Q38" s="61"/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1"/>
      <x:c r="M39" s="61"/>
      <x:c r="N39" s="61"/>
      <x:c r="O39" s="61"/>
      <x:c r="P39" s="61"/>
      <x:c r="Q39" s="61"/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1"/>
      <x:c r="N41" s="61"/>
      <x:c r="O41" s="61"/>
      <x:c r="P41" s="61"/>
      <x:c r="Q41" s="61"/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1"/>
      <x:c r="N42" s="61"/>
      <x:c r="O42" s="61"/>
      <x:c r="P42" s="61"/>
      <x:c r="Q42" s="61"/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1"/>
      <x:c r="O43" s="61"/>
      <x:c r="P43" s="61"/>
      <x:c r="Q43" s="61"/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1"/>
      <x:c r="O44" s="61"/>
      <x:c r="P44" s="61"/>
      <x:c r="Q44" s="61"/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1"/>
      <x:c r="N45" s="61"/>
      <x:c r="O45" s="61"/>
      <x:c r="P45" s="61"/>
      <x:c r="Q45" s="61"/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1"/>
      <x:c r="N46" s="61"/>
      <x:c r="O46" s="61"/>
      <x:c r="P46" s="61"/>
      <x:c r="Q46" s="61"/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1"/>
      <x:c r="N47" s="61"/>
      <x:c r="O47" s="61"/>
      <x:c r="P47" s="61"/>
      <x:c r="Q47" s="61"/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1"/>
      <x:c r="N48" s="61"/>
      <x:c r="O48" s="61"/>
      <x:c r="P48" s="61"/>
      <x:c r="Q48" s="61"/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1"/>
      <x:c r="N49" s="61"/>
      <x:c r="O49" s="61"/>
      <x:c r="P49" s="61"/>
      <x:c r="Q49" s="61"/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1"/>
      <x:c r="N50" s="61"/>
      <x:c r="O50" s="61"/>
      <x:c r="P50" s="61"/>
      <x:c r="Q50" s="61"/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1"/>
      <x:c r="O51" s="61"/>
      <x:c r="P51" s="61"/>
      <x:c r="Q51" s="61"/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1"/>
      <x:c r="N52" s="61"/>
      <x:c r="O52" s="61"/>
      <x:c r="P52" s="61"/>
      <x:c r="Q52" s="61"/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1"/>
      <x:c r="N53" s="61"/>
      <x:c r="O53" s="61"/>
      <x:c r="P53" s="61"/>
      <x:c r="Q53" s="61"/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1"/>
      <x:c r="N54" s="61"/>
      <x:c r="O54" s="61"/>
      <x:c r="P54" s="61"/>
      <x:c r="Q54" s="61"/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1"/>
      <x:c r="N55" s="61"/>
      <x:c r="O55" s="61"/>
      <x:c r="P55" s="61"/>
      <x:c r="Q55" s="61"/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1"/>
      <x:c r="N56" s="61"/>
      <x:c r="O56" s="61"/>
      <x:c r="P56" s="61"/>
      <x:c r="Q56" s="61"/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1"/>
      <x:c r="N57" s="61"/>
      <x:c r="O57" s="61"/>
      <x:c r="P57" s="61"/>
      <x:c r="Q57" s="61"/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1"/>
      <x:c r="N58" s="61"/>
      <x:c r="O58" s="61"/>
      <x:c r="P58" s="61"/>
      <x:c r="Q58" s="61"/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1"/>
      <x:c r="N59" s="61"/>
      <x:c r="O59" s="61"/>
      <x:c r="P59" s="61"/>
      <x:c r="Q59" s="61"/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1"/>
      <x:c r="N60" s="61"/>
      <x:c r="O60" s="61"/>
      <x:c r="P60" s="61"/>
      <x:c r="Q60" s="61"/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1"/>
      <x:c r="N61" s="61"/>
      <x:c r="O61" s="61"/>
      <x:c r="P61" s="61"/>
      <x:c r="Q61" s="61"/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1"/>
      <x:c r="N62" s="61"/>
      <x:c r="O62" s="61"/>
      <x:c r="P62" s="61"/>
      <x:c r="Q62" s="61"/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1"/>
      <x:c r="N63" s="61"/>
      <x:c r="O63" s="61"/>
      <x:c r="P63" s="61"/>
      <x:c r="Q63" s="61"/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1"/>
      <x:c r="N64" s="61"/>
      <x:c r="O64" s="61"/>
      <x:c r="P64" s="61"/>
      <x:c r="Q64" s="61"/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1"/>
      <x:c r="N65" s="61"/>
      <x:c r="O65" s="61"/>
      <x:c r="P65" s="61"/>
      <x:c r="Q65" s="61"/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1"/>
      <x:c r="N66" s="61"/>
      <x:c r="O66" s="61"/>
      <x:c r="P66" s="61"/>
      <x:c r="Q66" s="61"/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1"/>
      <x:c r="N67" s="61"/>
      <x:c r="O67" s="61"/>
      <x:c r="P67" s="61"/>
      <x:c r="Q67" s="61"/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1"/>
      <x:c r="N68" s="61"/>
      <x:c r="O68" s="61"/>
      <x:c r="P68" s="61"/>
      <x:c r="Q68" s="61"/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1"/>
      <x:c r="N69" s="61"/>
      <x:c r="O69" s="61"/>
      <x:c r="P69" s="61"/>
      <x:c r="Q69" s="61"/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1"/>
      <x:c r="N70" s="61"/>
      <x:c r="O70" s="61"/>
      <x:c r="P70" s="61"/>
      <x:c r="Q70" s="61"/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1"/>
      <x:c r="N71" s="61"/>
      <x:c r="O71" s="61"/>
      <x:c r="P71" s="61"/>
      <x:c r="Q71" s="61"/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1"/>
      <x:c r="N72" s="61"/>
      <x:c r="O72" s="61"/>
      <x:c r="P72" s="61"/>
      <x:c r="Q72" s="61"/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1"/>
      <x:c r="N73" s="61"/>
      <x:c r="O73" s="61"/>
      <x:c r="P73" s="61"/>
      <x:c r="Q73" s="61"/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1"/>
      <x:c r="N74" s="61"/>
      <x:c r="O74" s="61"/>
      <x:c r="P74" s="61"/>
      <x:c r="Q74" s="61"/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1"/>
      <x:c r="N75" s="61"/>
      <x:c r="O75" s="61"/>
      <x:c r="P75" s="61"/>
      <x:c r="Q75" s="61"/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1"/>
      <x:c r="N76" s="61"/>
      <x:c r="O76" s="61"/>
      <x:c r="P76" s="61"/>
      <x:c r="Q76" s="61"/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1"/>
      <x:c r="N77" s="61"/>
      <x:c r="O77" s="61"/>
      <x:c r="P77" s="61"/>
      <x:c r="Q77" s="61"/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1"/>
      <x:c r="N78" s="61"/>
      <x:c r="O78" s="61"/>
      <x:c r="P78" s="61"/>
      <x:c r="Q78" s="61"/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1"/>
      <x:c r="N79" s="61"/>
      <x:c r="O79" s="61"/>
      <x:c r="P79" s="61"/>
      <x:c r="Q79" s="61"/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1"/>
      <x:c r="N80" s="61"/>
      <x:c r="O80" s="61"/>
      <x:c r="P80" s="61"/>
      <x:c r="Q80" s="61"/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1"/>
      <x:c r="N81" s="61"/>
      <x:c r="O81" s="61"/>
      <x:c r="P81" s="61"/>
      <x:c r="Q81" s="61"/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/>
      <x:c r="P82" s="61"/>
      <x:c r="Q82" s="61"/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1"/>
      <x:c r="N83" s="61"/>
      <x:c r="O83" s="61"/>
      <x:c r="P83" s="61"/>
      <x:c r="Q83" s="61"/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1"/>
      <x:c r="N84" s="61"/>
      <x:c r="O84" s="61"/>
      <x:c r="P84" s="61"/>
      <x:c r="Q84" s="61"/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1"/>
      <x:c r="N85" s="61"/>
      <x:c r="O85" s="61"/>
      <x:c r="P85" s="61"/>
      <x:c r="Q85" s="61"/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1"/>
      <x:c r="N86" s="61"/>
      <x:c r="O86" s="61"/>
      <x:c r="P86" s="61"/>
      <x:c r="Q86" s="61"/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1"/>
      <x:c r="N87" s="61"/>
      <x:c r="O87" s="61"/>
      <x:c r="P87" s="61"/>
      <x:c r="Q87" s="61"/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1"/>
      <x:c r="N88" s="61"/>
      <x:c r="O88" s="61"/>
      <x:c r="P88" s="61"/>
      <x:c r="Q88" s="61"/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1"/>
      <x:c r="N89" s="61"/>
      <x:c r="O89" s="61"/>
      <x:c r="P89" s="61"/>
      <x:c r="Q89" s="61"/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1"/>
      <x:c r="N90" s="61"/>
      <x:c r="O90" s="61"/>
      <x:c r="P90" s="61"/>
      <x:c r="Q90" s="61"/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1"/>
      <x:c r="N91" s="61"/>
      <x:c r="O91" s="61"/>
      <x:c r="P91" s="61"/>
      <x:c r="Q91" s="61"/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1"/>
      <x:c r="N92" s="61"/>
      <x:c r="O92" s="61"/>
      <x:c r="P92" s="61"/>
      <x:c r="Q92" s="61"/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1"/>
      <x:c r="N93" s="61"/>
      <x:c r="O93" s="61"/>
      <x:c r="P93" s="61"/>
      <x:c r="Q93" s="61"/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1"/>
      <x:c r="N94" s="61"/>
      <x:c r="O94" s="61"/>
      <x:c r="P94" s="61"/>
      <x:c r="Q94" s="61"/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1"/>
      <x:c r="N95" s="61"/>
      <x:c r="O95" s="61"/>
      <x:c r="P95" s="61"/>
      <x:c r="Q95" s="61"/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1"/>
      <x:c r="N96" s="61"/>
      <x:c r="O96" s="61"/>
      <x:c r="P96" s="61"/>
      <x:c r="Q96" s="61"/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1"/>
      <x:c r="N97" s="61"/>
      <x:c r="O97" s="61"/>
      <x:c r="P97" s="61"/>
      <x:c r="Q97" s="61"/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1"/>
      <x:c r="N98" s="61"/>
      <x:c r="O98" s="61"/>
      <x:c r="P98" s="61"/>
      <x:c r="Q98" s="61"/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1"/>
      <x:c r="N99" s="61"/>
      <x:c r="O99" s="61"/>
      <x:c r="P99" s="61"/>
      <x:c r="Q99" s="61"/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1"/>
      <x:c r="N100" s="61"/>
      <x:c r="O100" s="61"/>
      <x:c r="P100" s="61"/>
      <x:c r="Q100" s="61"/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1"/>
      <x:c r="N101" s="61"/>
      <x:c r="O101" s="61"/>
      <x:c r="P101" s="61"/>
      <x:c r="Q101" s="61"/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1"/>
      <x:c r="N102" s="61"/>
      <x:c r="O102" s="61"/>
      <x:c r="P102" s="61"/>
      <x:c r="Q102" s="61"/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1"/>
      <x:c r="N103" s="61"/>
      <x:c r="O103" s="61"/>
      <x:c r="P103" s="61"/>
      <x:c r="Q103" s="61"/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1"/>
      <x:c r="N104" s="61"/>
      <x:c r="O104" s="61"/>
      <x:c r="P104" s="61"/>
      <x:c r="Q104" s="61"/>
    </x:row>
    <x:row r="105">
      <x:c r="A105" s="61"/>
      <x:c r="B105" s="61"/>
      <x:c r="C105" s="61"/>
      <x:c r="D105" s="61"/>
      <x:c r="E105" s="61"/>
      <x:c r="F105" s="61"/>
      <x:c r="G105" s="61"/>
      <x:c r="H105" s="61"/>
      <x:c r="I105" s="61"/>
      <x:c r="J105" s="61"/>
      <x:c r="K105" s="61"/>
      <x:c r="L105" s="61"/>
      <x:c r="M105" s="61"/>
      <x:c r="N105" s="61"/>
      <x:c r="O105" s="61"/>
      <x:c r="P105" s="61"/>
      <x:c r="Q105" s="61"/>
    </x:row>
    <x:row r="106">
      <x:c r="A106" s="61"/>
      <x:c r="B106" s="61"/>
      <x:c r="C106" s="61"/>
      <x:c r="D106" s="61"/>
      <x:c r="E106" s="61"/>
      <x:c r="F106" s="61"/>
      <x:c r="G106" s="61"/>
      <x:c r="H106" s="61"/>
      <x:c r="I106" s="61"/>
      <x:c r="J106" s="61"/>
      <x:c r="K106" s="61"/>
      <x:c r="L106" s="61"/>
      <x:c r="M106" s="61"/>
      <x:c r="N106" s="61"/>
      <x:c r="O106" s="61"/>
      <x:c r="P106" s="61"/>
      <x:c r="Q106" s="61"/>
    </x:row>
    <x:row r="107">
      <x:c r="A107" s="61"/>
      <x:c r="B107" s="61"/>
      <x:c r="C107" s="61"/>
      <x:c r="D107" s="61"/>
      <x:c r="E107" s="61"/>
      <x:c r="F107" s="61"/>
      <x:c r="G107" s="61"/>
      <x:c r="H107" s="61"/>
      <x:c r="I107" s="61"/>
      <x:c r="J107" s="61"/>
      <x:c r="K107" s="61"/>
      <x:c r="L107" s="61"/>
      <x:c r="M107" s="61"/>
      <x:c r="N107" s="61"/>
      <x:c r="O107" s="61"/>
      <x:c r="P107" s="61"/>
      <x:c r="Q107" s="61"/>
    </x:row>
    <x:row r="108">
      <x:c r="A108" s="61"/>
      <x:c r="B108" s="61"/>
      <x:c r="C108" s="61"/>
      <x:c r="D108" s="61"/>
      <x:c r="E108" s="61"/>
      <x:c r="F108" s="61"/>
      <x:c r="G108" s="61"/>
      <x:c r="H108" s="61"/>
      <x:c r="I108" s="61"/>
      <x:c r="J108" s="61"/>
      <x:c r="K108" s="61"/>
      <x:c r="L108" s="61"/>
      <x:c r="M108" s="61"/>
      <x:c r="N108" s="61"/>
      <x:c r="O108" s="61"/>
      <x:c r="P108" s="61"/>
      <x:c r="Q108" s="61"/>
    </x:row>
    <x:row r="109">
      <x:c r="A109" s="61"/>
      <x:c r="B109" s="61"/>
      <x:c r="C109" s="61"/>
      <x:c r="D109" s="61"/>
      <x:c r="E109" s="61"/>
      <x:c r="F109" s="61"/>
      <x:c r="G109" s="61"/>
      <x:c r="H109" s="61"/>
      <x:c r="I109" s="61"/>
      <x:c r="J109" s="61"/>
      <x:c r="K109" s="61"/>
      <x:c r="L109" s="61"/>
      <x:c r="M109" s="61"/>
      <x:c r="N109" s="61"/>
      <x:c r="O109" s="61"/>
      <x:c r="P109" s="61"/>
      <x:c r="Q109" s="61"/>
    </x:row>
    <x:row r="110">
      <x:c r="A110" s="61"/>
      <x:c r="B110" s="61"/>
      <x:c r="C110" s="61"/>
      <x:c r="D110" s="61"/>
      <x:c r="E110" s="61"/>
      <x:c r="F110" s="61"/>
      <x:c r="G110" s="61"/>
      <x:c r="H110" s="61"/>
      <x:c r="I110" s="61"/>
      <x:c r="J110" s="61"/>
      <x:c r="K110" s="61"/>
      <x:c r="L110" s="61"/>
      <x:c r="M110" s="61"/>
      <x:c r="N110" s="61"/>
      <x:c r="O110" s="61"/>
      <x:c r="P110" s="61"/>
      <x:c r="Q110" s="61"/>
    </x:row>
    <x:row r="111">
      <x:c r="A111" s="61"/>
      <x:c r="B111" s="61"/>
      <x:c r="C111" s="61"/>
      <x:c r="D111" s="61"/>
      <x:c r="E111" s="61"/>
      <x:c r="F111" s="61"/>
      <x:c r="G111" s="61"/>
      <x:c r="H111" s="61"/>
      <x:c r="I111" s="61"/>
      <x:c r="J111" s="61"/>
      <x:c r="K111" s="61"/>
      <x:c r="L111" s="61"/>
      <x:c r="M111" s="61"/>
      <x:c r="N111" s="61"/>
      <x:c r="O111" s="61"/>
      <x:c r="P111" s="61"/>
      <x:c r="Q111" s="61"/>
    </x:row>
    <x:row r="112">
      <x:c r="A112" s="61"/>
      <x:c r="B112" s="61"/>
      <x:c r="C112" s="61"/>
      <x:c r="D112" s="61"/>
      <x:c r="E112" s="61"/>
      <x:c r="F112" s="61"/>
      <x:c r="G112" s="61"/>
      <x:c r="H112" s="61"/>
      <x:c r="I112" s="61"/>
      <x:c r="J112" s="61"/>
      <x:c r="K112" s="61"/>
      <x:c r="L112" s="61"/>
      <x:c r="M112" s="61"/>
      <x:c r="N112" s="61"/>
      <x:c r="O112" s="61"/>
      <x:c r="P112" s="61"/>
      <x:c r="Q112" s="61"/>
    </x:row>
    <x:row r="113">
      <x:c r="A113" s="61"/>
      <x:c r="B113" s="61"/>
      <x:c r="C113" s="61"/>
      <x:c r="D113" s="61"/>
      <x:c r="E113" s="61"/>
      <x:c r="F113" s="61"/>
      <x:c r="G113" s="61"/>
      <x:c r="H113" s="61"/>
      <x:c r="I113" s="61"/>
      <x:c r="J113" s="61"/>
      <x:c r="K113" s="61"/>
      <x:c r="L113" s="61"/>
      <x:c r="M113" s="61"/>
      <x:c r="N113" s="61"/>
      <x:c r="O113" s="61"/>
      <x:c r="P113" s="61"/>
      <x:c r="Q113" s="61"/>
    </x:row>
    <x:row r="114">
      <x:c r="A114" s="61"/>
      <x:c r="B114" s="61"/>
      <x:c r="C114" s="61"/>
      <x:c r="D114" s="61"/>
      <x:c r="E114" s="61"/>
      <x:c r="F114" s="61"/>
      <x:c r="G114" s="61"/>
      <x:c r="H114" s="61"/>
      <x:c r="I114" s="61"/>
      <x:c r="J114" s="61"/>
      <x:c r="K114" s="61"/>
      <x:c r="L114" s="61"/>
      <x:c r="M114" s="61"/>
      <x:c r="N114" s="61"/>
      <x:c r="O114" s="61"/>
      <x:c r="P114" s="61"/>
      <x:c r="Q114" s="61"/>
    </x:row>
    <x:row r="115">
      <x:c r="A115" s="61"/>
      <x:c r="B115" s="61"/>
      <x:c r="C115" s="61"/>
      <x:c r="D115" s="61"/>
      <x:c r="E115" s="61"/>
      <x:c r="F115" s="61"/>
      <x:c r="G115" s="61"/>
      <x:c r="H115" s="61"/>
      <x:c r="I115" s="61"/>
      <x:c r="J115" s="61"/>
      <x:c r="K115" s="61"/>
      <x:c r="L115" s="61"/>
      <x:c r="M115" s="61"/>
      <x:c r="N115" s="61"/>
      <x:c r="O115" s="61"/>
      <x:c r="P115" s="61"/>
      <x:c r="Q115" s="61"/>
    </x:row>
    <x:row r="116">
      <x:c r="A116" s="61"/>
      <x:c r="B116" s="61"/>
      <x:c r="C116" s="61"/>
      <x:c r="D116" s="61"/>
      <x:c r="E116" s="61"/>
      <x:c r="F116" s="61"/>
      <x:c r="G116" s="61"/>
      <x:c r="H116" s="61"/>
      <x:c r="I116" s="61"/>
      <x:c r="J116" s="61"/>
      <x:c r="K116" s="61"/>
      <x:c r="L116" s="61"/>
      <x:c r="M116" s="61"/>
      <x:c r="N116" s="61"/>
      <x:c r="O116" s="61"/>
      <x:c r="P116" s="61"/>
      <x:c r="Q116" s="61"/>
    </x:row>
    <x:row r="117">
      <x:c r="A117" s="61"/>
      <x:c r="B117" s="61"/>
      <x:c r="C117" s="61"/>
      <x:c r="D117" s="61"/>
      <x:c r="E117" s="61"/>
      <x:c r="F117" s="61"/>
      <x:c r="G117" s="61"/>
      <x:c r="H117" s="61"/>
      <x:c r="I117" s="61"/>
      <x:c r="J117" s="61"/>
      <x:c r="K117" s="61"/>
      <x:c r="L117" s="61"/>
      <x:c r="M117" s="61"/>
      <x:c r="N117" s="61"/>
      <x:c r="O117" s="61"/>
      <x:c r="P117" s="61"/>
      <x:c r="Q117" s="61"/>
    </x:row>
    <x:row r="118">
      <x:c r="A118" s="61"/>
      <x:c r="B118" s="61"/>
      <x:c r="C118" s="61"/>
      <x:c r="D118" s="61"/>
      <x:c r="E118" s="61"/>
      <x:c r="F118" s="61"/>
      <x:c r="G118" s="61"/>
      <x:c r="H118" s="61"/>
      <x:c r="I118" s="61"/>
      <x:c r="J118" s="61"/>
      <x:c r="K118" s="61"/>
      <x:c r="L118" s="61"/>
      <x:c r="M118" s="61"/>
      <x:c r="N118" s="61"/>
      <x:c r="O118" s="61"/>
      <x:c r="P118" s="61"/>
      <x:c r="Q118" s="61"/>
    </x:row>
    <x:row r="119">
      <x:c r="A119" s="61"/>
      <x:c r="B119" s="61"/>
      <x:c r="C119" s="61"/>
      <x:c r="D119" s="61"/>
      <x:c r="E119" s="61"/>
      <x:c r="F119" s="61"/>
      <x:c r="G119" s="61"/>
      <x:c r="H119" s="61"/>
      <x:c r="I119" s="61"/>
      <x:c r="J119" s="61"/>
      <x:c r="K119" s="61"/>
      <x:c r="L119" s="61"/>
      <x:c r="M119" s="61"/>
      <x:c r="N119" s="61"/>
      <x:c r="O119" s="61"/>
      <x:c r="P119" s="61"/>
      <x:c r="Q119" s="61"/>
    </x:row>
    <x:row r="120">
      <x:c r="A120" s="61"/>
      <x:c r="B120" s="61"/>
      <x:c r="C120" s="61"/>
      <x:c r="D120" s="61"/>
      <x:c r="E120" s="61"/>
      <x:c r="F120" s="61"/>
      <x:c r="G120" s="61"/>
      <x:c r="H120" s="61"/>
      <x:c r="I120" s="61"/>
      <x:c r="J120" s="61"/>
      <x:c r="K120" s="61"/>
      <x:c r="L120" s="61"/>
      <x:c r="M120" s="61"/>
      <x:c r="N120" s="61"/>
      <x:c r="O120" s="61"/>
      <x:c r="P120" s="61"/>
      <x:c r="Q120" s="61"/>
    </x:row>
    <x:row r="121">
      <x:c r="A121" s="61"/>
      <x:c r="B121" s="61"/>
      <x:c r="C121" s="61"/>
      <x:c r="D121" s="61"/>
      <x:c r="E121" s="61"/>
      <x:c r="F121" s="61"/>
      <x:c r="G121" s="61"/>
      <x:c r="H121" s="61"/>
      <x:c r="I121" s="61"/>
      <x:c r="J121" s="61"/>
      <x:c r="K121" s="61"/>
      <x:c r="L121" s="61"/>
      <x:c r="M121" s="61"/>
      <x:c r="N121" s="61"/>
      <x:c r="O121" s="61"/>
      <x:c r="P121" s="61"/>
      <x:c r="Q121" s="61"/>
    </x:row>
    <x:row r="122">
      <x:c r="A122" s="61"/>
      <x:c r="B122" s="61"/>
      <x:c r="C122" s="61"/>
      <x:c r="D122" s="61"/>
      <x:c r="E122" s="61"/>
      <x:c r="F122" s="61"/>
      <x:c r="G122" s="61"/>
      <x:c r="H122" s="61"/>
      <x:c r="I122" s="61"/>
      <x:c r="J122" s="61"/>
      <x:c r="K122" s="61"/>
      <x:c r="L122" s="61"/>
      <x:c r="M122" s="61"/>
      <x:c r="N122" s="61"/>
      <x:c r="O122" s="61"/>
      <x:c r="P122" s="61"/>
      <x:c r="Q122" s="61"/>
    </x:row>
    <x:row r="123">
      <x:c r="A123" s="61"/>
      <x:c r="B123" s="61"/>
      <x:c r="C123" s="61"/>
      <x:c r="D123" s="61"/>
      <x:c r="E123" s="61"/>
      <x:c r="F123" s="61"/>
      <x:c r="G123" s="61"/>
      <x:c r="H123" s="61"/>
      <x:c r="I123" s="61"/>
      <x:c r="J123" s="61"/>
      <x:c r="K123" s="61"/>
      <x:c r="L123" s="61"/>
      <x:c r="M123" s="61"/>
      <x:c r="N123" s="61"/>
      <x:c r="O123" s="61"/>
      <x:c r="P123" s="61"/>
      <x:c r="Q123" s="61"/>
    </x:row>
    <x:row r="124">
      <x:c r="A124" s="61"/>
      <x:c r="B124" s="61"/>
      <x:c r="C124" s="61"/>
      <x:c r="D124" s="61"/>
      <x:c r="E124" s="61"/>
      <x:c r="F124" s="61"/>
      <x:c r="G124" s="61"/>
      <x:c r="H124" s="61"/>
      <x:c r="I124" s="61"/>
      <x:c r="J124" s="61"/>
      <x:c r="K124" s="61"/>
      <x:c r="L124" s="61"/>
      <x:c r="M124" s="61"/>
      <x:c r="N124" s="61"/>
      <x:c r="O124" s="61"/>
      <x:c r="P124" s="61"/>
      <x:c r="Q124" s="61"/>
    </x:row>
    <x:row r="125">
      <x:c r="A125" s="61"/>
      <x:c r="B125" s="61"/>
      <x:c r="C125" s="61"/>
      <x:c r="D125" s="61"/>
      <x:c r="E125" s="61"/>
      <x:c r="F125" s="61"/>
      <x:c r="G125" s="61"/>
      <x:c r="H125" s="61"/>
      <x:c r="I125" s="61"/>
      <x:c r="J125" s="61"/>
      <x:c r="K125" s="61"/>
      <x:c r="L125" s="61"/>
      <x:c r="M125" s="61"/>
      <x:c r="N125" s="61"/>
      <x:c r="O125" s="61"/>
      <x:c r="P125" s="61"/>
      <x:c r="Q125" s="61"/>
    </x:row>
    <x:row r="126">
      <x:c r="A126" s="61"/>
      <x:c r="B126" s="61"/>
      <x:c r="C126" s="61"/>
      <x:c r="D126" s="61"/>
      <x:c r="E126" s="61"/>
      <x:c r="F126" s="61"/>
      <x:c r="G126" s="61"/>
      <x:c r="H126" s="61"/>
      <x:c r="I126" s="61"/>
      <x:c r="J126" s="61"/>
      <x:c r="K126" s="61"/>
      <x:c r="L126" s="61"/>
      <x:c r="M126" s="61"/>
      <x:c r="N126" s="61"/>
      <x:c r="O126" s="61"/>
      <x:c r="P126" s="61"/>
      <x:c r="Q126" s="61"/>
    </x:row>
    <x:row r="127">
      <x:c r="A127" s="61"/>
      <x:c r="B127" s="61"/>
      <x:c r="C127" s="61"/>
      <x:c r="D127" s="61"/>
      <x:c r="E127" s="61"/>
      <x:c r="F127" s="61"/>
      <x:c r="G127" s="61"/>
      <x:c r="H127" s="61"/>
      <x:c r="I127" s="61"/>
      <x:c r="J127" s="61"/>
      <x:c r="K127" s="61"/>
      <x:c r="L127" s="61"/>
      <x:c r="M127" s="61"/>
      <x:c r="N127" s="61"/>
      <x:c r="O127" s="61"/>
      <x:c r="P127" s="61"/>
      <x:c r="Q127" s="61"/>
    </x:row>
    <x:row r="128">
      <x:c r="A128" s="61"/>
      <x:c r="B128" s="61"/>
      <x:c r="C128" s="61"/>
      <x:c r="D128" s="61"/>
      <x:c r="E128" s="61"/>
      <x:c r="F128" s="61"/>
      <x:c r="G128" s="61"/>
      <x:c r="H128" s="61"/>
      <x:c r="I128" s="61"/>
      <x:c r="J128" s="61"/>
      <x:c r="K128" s="61"/>
      <x:c r="L128" s="61"/>
      <x:c r="M128" s="61"/>
      <x:c r="N128" s="61"/>
      <x:c r="O128" s="61"/>
      <x:c r="P128" s="61"/>
      <x:c r="Q128" s="61"/>
    </x:row>
    <x:row r="129">
      <x:c r="A129" s="61"/>
      <x:c r="B129" s="61"/>
      <x:c r="C129" s="61"/>
      <x:c r="D129" s="61"/>
      <x:c r="E129" s="61"/>
      <x:c r="F129" s="61"/>
      <x:c r="G129" s="61"/>
      <x:c r="H129" s="61"/>
      <x:c r="I129" s="61"/>
      <x:c r="J129" s="61"/>
      <x:c r="K129" s="61"/>
      <x:c r="L129" s="61"/>
      <x:c r="M129" s="61"/>
      <x:c r="N129" s="61"/>
      <x:c r="O129" s="61"/>
      <x:c r="P129" s="61"/>
      <x:c r="Q129" s="61"/>
    </x:row>
    <x:row r="130">
      <x:c r="A130" s="61"/>
      <x:c r="B130" s="61"/>
      <x:c r="C130" s="61"/>
      <x:c r="D130" s="61"/>
      <x:c r="E130" s="61"/>
      <x:c r="F130" s="61"/>
      <x:c r="G130" s="61"/>
      <x:c r="H130" s="61"/>
      <x:c r="I130" s="61"/>
      <x:c r="J130" s="61"/>
      <x:c r="K130" s="61"/>
      <x:c r="L130" s="61"/>
      <x:c r="M130" s="61"/>
      <x:c r="N130" s="61"/>
      <x:c r="O130" s="61"/>
      <x:c r="P130" s="61"/>
      <x:c r="Q130" s="61"/>
    </x:row>
    <x:row r="131">
      <x:c r="A131" s="61"/>
      <x:c r="B131" s="61"/>
      <x:c r="C131" s="61"/>
      <x:c r="D131" s="61"/>
      <x:c r="E131" s="61"/>
      <x:c r="F131" s="61"/>
      <x:c r="G131" s="61"/>
      <x:c r="H131" s="61"/>
      <x:c r="I131" s="61"/>
      <x:c r="J131" s="61"/>
      <x:c r="K131" s="61"/>
      <x:c r="L131" s="61"/>
      <x:c r="M131" s="61"/>
      <x:c r="N131" s="61"/>
      <x:c r="O131" s="61"/>
      <x:c r="P131" s="61"/>
      <x:c r="Q131" s="61"/>
    </x:row>
    <x:row r="132">
      <x:c r="A132" s="61"/>
      <x:c r="B132" s="61"/>
      <x:c r="C132" s="61"/>
      <x:c r="D132" s="61"/>
      <x:c r="E132" s="61"/>
      <x:c r="F132" s="61"/>
      <x:c r="G132" s="61"/>
      <x:c r="H132" s="61"/>
      <x:c r="I132" s="61"/>
      <x:c r="J132" s="61"/>
      <x:c r="K132" s="61"/>
      <x:c r="L132" s="61"/>
      <x:c r="M132" s="61"/>
      <x:c r="N132" s="61"/>
      <x:c r="O132" s="61"/>
      <x:c r="P132" s="61"/>
      <x:c r="Q132" s="61"/>
    </x:row>
    <x:row r="133">
      <x:c r="A133" s="61"/>
      <x:c r="B133" s="61"/>
      <x:c r="C133" s="61"/>
      <x:c r="D133" s="61"/>
      <x:c r="E133" s="61"/>
      <x:c r="F133" s="61"/>
      <x:c r="G133" s="61"/>
      <x:c r="H133" s="61"/>
      <x:c r="I133" s="61"/>
      <x:c r="J133" s="61"/>
      <x:c r="K133" s="61"/>
      <x:c r="L133" s="61"/>
      <x:c r="M133" s="61"/>
      <x:c r="N133" s="61"/>
      <x:c r="O133" s="61"/>
      <x:c r="P133" s="61"/>
      <x:c r="Q133" s="61"/>
    </x:row>
    <x:row r="134">
      <x:c r="A134" s="61"/>
      <x:c r="B134" s="61"/>
      <x:c r="C134" s="61"/>
      <x:c r="D134" s="61"/>
      <x:c r="E134" s="61"/>
      <x:c r="F134" s="61"/>
      <x:c r="G134" s="61"/>
      <x:c r="H134" s="61"/>
      <x:c r="I134" s="61"/>
      <x:c r="J134" s="61"/>
      <x:c r="K134" s="61"/>
      <x:c r="L134" s="61"/>
      <x:c r="M134" s="61"/>
      <x:c r="N134" s="61"/>
      <x:c r="O134" s="61"/>
      <x:c r="P134" s="61"/>
      <x:c r="Q134" s="61"/>
    </x:row>
    <x:row r="135">
      <x:c r="A135" s="61"/>
      <x:c r="B135" s="61"/>
      <x:c r="C135" s="61"/>
      <x:c r="D135" s="61"/>
      <x:c r="E135" s="61"/>
      <x:c r="F135" s="61"/>
      <x:c r="G135" s="61"/>
      <x:c r="H135" s="61"/>
      <x:c r="I135" s="61"/>
      <x:c r="J135" s="61"/>
      <x:c r="K135" s="61"/>
      <x:c r="L135" s="61"/>
      <x:c r="M135" s="61"/>
      <x:c r="N135" s="61"/>
      <x:c r="O135" s="61"/>
      <x:c r="P135" s="61"/>
      <x:c r="Q135" s="61"/>
    </x:row>
    <x:row r="136">
      <x:c r="A136" s="61"/>
      <x:c r="B136" s="61"/>
      <x:c r="C136" s="61"/>
      <x:c r="D136" s="61"/>
      <x:c r="E136" s="61"/>
      <x:c r="F136" s="61"/>
      <x:c r="G136" s="61"/>
      <x:c r="H136" s="61"/>
      <x:c r="I136" s="61"/>
      <x:c r="J136" s="61"/>
      <x:c r="K136" s="61"/>
      <x:c r="L136" s="61"/>
      <x:c r="M136" s="61"/>
      <x:c r="N136" s="61"/>
      <x:c r="O136" s="61"/>
      <x:c r="P136" s="61"/>
      <x:c r="Q136" s="61"/>
    </x:row>
    <x:row r="137">
      <x:c r="A137" s="61"/>
      <x:c r="B137" s="61"/>
      <x:c r="C137" s="61"/>
      <x:c r="D137" s="61"/>
      <x:c r="E137" s="61"/>
      <x:c r="F137" s="61"/>
      <x:c r="G137" s="61"/>
      <x:c r="H137" s="61"/>
      <x:c r="I137" s="61"/>
      <x:c r="J137" s="61"/>
      <x:c r="K137" s="61"/>
      <x:c r="L137" s="61"/>
      <x:c r="M137" s="61"/>
      <x:c r="N137" s="61"/>
      <x:c r="O137" s="61"/>
      <x:c r="P137" s="61"/>
      <x:c r="Q137" s="61"/>
    </x:row>
    <x:row r="138">
      <x:c r="A138" s="61"/>
      <x:c r="B138" s="61"/>
      <x:c r="C138" s="61"/>
      <x:c r="D138" s="61"/>
      <x:c r="E138" s="61"/>
      <x:c r="F138" s="61"/>
      <x:c r="G138" s="61"/>
      <x:c r="H138" s="61"/>
      <x:c r="I138" s="61"/>
      <x:c r="J138" s="61"/>
      <x:c r="K138" s="61"/>
      <x:c r="L138" s="61"/>
      <x:c r="M138" s="61"/>
      <x:c r="N138" s="61"/>
      <x:c r="O138" s="61"/>
      <x:c r="P138" s="61"/>
      <x:c r="Q138" s="61"/>
    </x:row>
    <x:row r="139">
      <x:c r="A139" s="61"/>
      <x:c r="B139" s="61"/>
      <x:c r="C139" s="61"/>
      <x:c r="D139" s="61"/>
      <x:c r="E139" s="61"/>
      <x:c r="F139" s="61"/>
      <x:c r="G139" s="61"/>
      <x:c r="H139" s="61"/>
      <x:c r="I139" s="61"/>
      <x:c r="J139" s="61"/>
      <x:c r="K139" s="61"/>
      <x:c r="L139" s="61"/>
      <x:c r="M139" s="61"/>
      <x:c r="N139" s="61"/>
      <x:c r="O139" s="61"/>
      <x:c r="P139" s="61"/>
      <x:c r="Q139" s="61"/>
    </x:row>
    <x:row r="140">
      <x:c r="A140" s="61"/>
      <x:c r="B140" s="61"/>
      <x:c r="C140" s="61"/>
      <x:c r="D140" s="61"/>
      <x:c r="E140" s="61"/>
      <x:c r="F140" s="61"/>
      <x:c r="G140" s="61"/>
      <x:c r="H140" s="61"/>
      <x:c r="I140" s="61"/>
      <x:c r="J140" s="61"/>
      <x:c r="K140" s="61"/>
      <x:c r="L140" s="61"/>
      <x:c r="M140" s="61"/>
      <x:c r="N140" s="61"/>
      <x:c r="O140" s="61"/>
      <x:c r="P140" s="61"/>
      <x:c r="Q140" s="61"/>
    </x:row>
    <x:row r="141">
      <x:c r="A141" s="61"/>
      <x:c r="B141" s="61"/>
      <x:c r="C141" s="61"/>
      <x:c r="D141" s="61"/>
      <x:c r="E141" s="61"/>
      <x:c r="F141" s="61"/>
      <x:c r="G141" s="61"/>
      <x:c r="H141" s="61"/>
      <x:c r="I141" s="61"/>
      <x:c r="J141" s="61"/>
      <x:c r="K141" s="61"/>
      <x:c r="L141" s="61"/>
      <x:c r="M141" s="61"/>
      <x:c r="N141" s="61"/>
      <x:c r="O141" s="61"/>
      <x:c r="P141" s="61"/>
      <x:c r="Q141" s="61"/>
    </x:row>
    <x:row r="142">
      <x:c r="A142" s="61"/>
      <x:c r="B142" s="61"/>
      <x:c r="C142" s="61"/>
      <x:c r="D142" s="61"/>
      <x:c r="E142" s="61"/>
      <x:c r="F142" s="61"/>
      <x:c r="G142" s="61"/>
      <x:c r="H142" s="61"/>
      <x:c r="I142" s="61"/>
      <x:c r="J142" s="61"/>
      <x:c r="K142" s="61"/>
      <x:c r="L142" s="61"/>
      <x:c r="M142" s="61"/>
      <x:c r="N142" s="61"/>
      <x:c r="O142" s="61"/>
      <x:c r="P142" s="61"/>
      <x:c r="Q142" s="61"/>
    </x:row>
    <x:row r="143">
      <x:c r="A143" s="61"/>
      <x:c r="B143" s="61"/>
      <x:c r="C143" s="61"/>
      <x:c r="D143" s="61"/>
      <x:c r="E143" s="61"/>
      <x:c r="F143" s="61"/>
      <x:c r="G143" s="61"/>
      <x:c r="H143" s="61"/>
      <x:c r="I143" s="61"/>
      <x:c r="J143" s="61"/>
      <x:c r="K143" s="61"/>
      <x:c r="L143" s="61"/>
      <x:c r="M143" s="61"/>
      <x:c r="N143" s="61"/>
      <x:c r="O143" s="61"/>
      <x:c r="P143" s="61"/>
      <x:c r="Q143" s="61"/>
    </x:row>
    <x:row r="144">
      <x:c r="A144" s="61"/>
      <x:c r="B144" s="61"/>
      <x:c r="C144" s="61"/>
      <x:c r="D144" s="61"/>
      <x:c r="E144" s="61"/>
      <x:c r="F144" s="61"/>
      <x:c r="G144" s="61"/>
      <x:c r="H144" s="61"/>
      <x:c r="I144" s="61"/>
      <x:c r="J144" s="61"/>
      <x:c r="K144" s="61"/>
      <x:c r="L144" s="61"/>
      <x:c r="M144" s="61"/>
      <x:c r="N144" s="61"/>
      <x:c r="O144" s="61"/>
      <x:c r="P144" s="61"/>
      <x:c r="Q144" s="61"/>
    </x:row>
    <x:row r="145">
      <x:c r="A145" s="61"/>
      <x:c r="B145" s="61"/>
      <x:c r="C145" s="61"/>
      <x:c r="D145" s="61"/>
      <x:c r="E145" s="61"/>
      <x:c r="F145" s="61"/>
      <x:c r="G145" s="61"/>
      <x:c r="H145" s="61"/>
      <x:c r="I145" s="61"/>
      <x:c r="J145" s="61"/>
      <x:c r="K145" s="61"/>
      <x:c r="L145" s="61"/>
      <x:c r="M145" s="61"/>
      <x:c r="N145" s="61"/>
      <x:c r="O145" s="61"/>
      <x:c r="P145" s="61"/>
      <x:c r="Q145" s="61"/>
    </x:row>
    <x:row r="146">
      <x:c r="A146" s="61"/>
      <x:c r="B146" s="61"/>
      <x:c r="C146" s="61"/>
      <x:c r="D146" s="61"/>
      <x:c r="E146" s="61"/>
      <x:c r="F146" s="61"/>
      <x:c r="G146" s="61"/>
      <x:c r="H146" s="61"/>
      <x:c r="I146" s="61"/>
      <x:c r="J146" s="61"/>
      <x:c r="K146" s="61"/>
      <x:c r="L146" s="61"/>
      <x:c r="M146" s="61"/>
      <x:c r="N146" s="61"/>
      <x:c r="O146" s="61"/>
      <x:c r="P146" s="61"/>
      <x:c r="Q146" s="61"/>
    </x:row>
    <x:row r="147">
      <x:c r="A147" s="61"/>
      <x:c r="B147" s="61"/>
      <x:c r="C147" s="61"/>
      <x:c r="D147" s="61"/>
      <x:c r="E147" s="61"/>
      <x:c r="F147" s="61"/>
      <x:c r="G147" s="61"/>
      <x:c r="H147" s="61"/>
      <x:c r="I147" s="61"/>
      <x:c r="J147" s="61"/>
      <x:c r="K147" s="61"/>
      <x:c r="L147" s="61"/>
      <x:c r="M147" s="61"/>
      <x:c r="N147" s="61"/>
      <x:c r="O147" s="61"/>
      <x:c r="P147" s="61"/>
      <x:c r="Q147" s="61"/>
    </x:row>
    <x:row r="148">
      <x:c r="A148" s="61"/>
      <x:c r="B148" s="61"/>
      <x:c r="C148" s="61"/>
      <x:c r="D148" s="61"/>
      <x:c r="E148" s="61"/>
      <x:c r="F148" s="61"/>
      <x:c r="G148" s="61"/>
      <x:c r="H148" s="61"/>
      <x:c r="I148" s="61"/>
      <x:c r="J148" s="61"/>
      <x:c r="K148" s="61"/>
      <x:c r="L148" s="61"/>
      <x:c r="M148" s="61"/>
      <x:c r="N148" s="61"/>
      <x:c r="O148" s="61"/>
      <x:c r="P148" s="61"/>
      <x:c r="Q148" s="61"/>
    </x:row>
    <x:row r="149">
      <x:c r="A149" s="61"/>
      <x:c r="B149" s="61"/>
      <x:c r="C149" s="61"/>
      <x:c r="D149" s="61"/>
      <x:c r="E149" s="61"/>
      <x:c r="F149" s="61"/>
      <x:c r="G149" s="61"/>
      <x:c r="H149" s="61"/>
      <x:c r="I149" s="61"/>
      <x:c r="J149" s="61"/>
      <x:c r="K149" s="61"/>
      <x:c r="L149" s="61"/>
      <x:c r="M149" s="61"/>
      <x:c r="N149" s="61"/>
      <x:c r="O149" s="61"/>
      <x:c r="P149" s="61"/>
      <x:c r="Q149" s="61"/>
    </x:row>
    <x:row r="150">
      <x:c r="A150" s="61"/>
      <x:c r="B150" s="61"/>
      <x:c r="C150" s="61"/>
      <x:c r="D150" s="61"/>
      <x:c r="E150" s="61"/>
      <x:c r="F150" s="61"/>
      <x:c r="G150" s="61"/>
      <x:c r="H150" s="61"/>
      <x:c r="I150" s="61"/>
      <x:c r="J150" s="61"/>
      <x:c r="K150" s="61"/>
      <x:c r="L150" s="61"/>
      <x:c r="M150" s="61"/>
      <x:c r="N150" s="61"/>
      <x:c r="O150" s="61"/>
      <x:c r="P150" s="61"/>
      <x:c r="Q150" s="61"/>
    </x:row>
    <x:row r="151">
      <x:c r="A151" s="61"/>
      <x:c r="B151" s="61"/>
      <x:c r="C151" s="61"/>
      <x:c r="D151" s="61"/>
      <x:c r="E151" s="61"/>
      <x:c r="F151" s="61"/>
      <x:c r="G151" s="61"/>
      <x:c r="H151" s="61"/>
      <x:c r="I151" s="61"/>
      <x:c r="J151" s="61"/>
      <x:c r="K151" s="61"/>
      <x:c r="L151" s="61"/>
      <x:c r="M151" s="61"/>
      <x:c r="N151" s="61"/>
      <x:c r="O151" s="61"/>
      <x:c r="P151" s="61"/>
      <x:c r="Q151" s="61"/>
    </x:row>
    <x:row r="152">
      <x:c r="A152" s="61"/>
      <x:c r="B152" s="61"/>
      <x:c r="C152" s="61"/>
      <x:c r="D152" s="61"/>
      <x:c r="E152" s="61"/>
      <x:c r="F152" s="61"/>
      <x:c r="G152" s="61"/>
      <x:c r="H152" s="61"/>
      <x:c r="I152" s="61"/>
      <x:c r="J152" s="61"/>
      <x:c r="K152" s="61"/>
      <x:c r="L152" s="61"/>
      <x:c r="M152" s="61"/>
      <x:c r="N152" s="61"/>
      <x:c r="O152" s="61"/>
      <x:c r="P152" s="61"/>
      <x:c r="Q152" s="61"/>
    </x:row>
    <x:row r="153">
      <x:c r="A153" s="61"/>
      <x:c r="B153" s="61"/>
      <x:c r="C153" s="61"/>
      <x:c r="D153" s="61"/>
      <x:c r="E153" s="61"/>
      <x:c r="F153" s="61"/>
      <x:c r="G153" s="61"/>
      <x:c r="H153" s="61"/>
      <x:c r="I153" s="61"/>
      <x:c r="J153" s="61"/>
      <x:c r="K153" s="61"/>
      <x:c r="L153" s="61"/>
      <x:c r="M153" s="61"/>
      <x:c r="N153" s="61"/>
      <x:c r="O153" s="61"/>
      <x:c r="P153" s="61"/>
      <x:c r="Q153" s="61"/>
    </x:row>
    <x:row r="154">
      <x:c r="A154" s="61"/>
      <x:c r="B154" s="61"/>
      <x:c r="C154" s="61"/>
      <x:c r="D154" s="61"/>
      <x:c r="E154" s="61"/>
      <x:c r="F154" s="61"/>
      <x:c r="G154" s="61"/>
      <x:c r="H154" s="61"/>
      <x:c r="I154" s="61"/>
      <x:c r="J154" s="61"/>
      <x:c r="K154" s="61"/>
      <x:c r="L154" s="61"/>
      <x:c r="M154" s="61"/>
      <x:c r="N154" s="61"/>
      <x:c r="O154" s="61"/>
      <x:c r="P154" s="61"/>
      <x:c r="Q154" s="61"/>
    </x:row>
    <x:row r="155">
      <x:c r="A155" s="61"/>
      <x:c r="B155" s="61"/>
      <x:c r="C155" s="61"/>
      <x:c r="D155" s="61"/>
      <x:c r="E155" s="61"/>
      <x:c r="F155" s="61"/>
      <x:c r="G155" s="61"/>
      <x:c r="H155" s="61"/>
      <x:c r="I155" s="61"/>
      <x:c r="J155" s="61"/>
      <x:c r="K155" s="61"/>
      <x:c r="L155" s="61"/>
      <x:c r="M155" s="61"/>
      <x:c r="N155" s="61"/>
      <x:c r="O155" s="61"/>
      <x:c r="P155" s="61"/>
      <x:c r="Q155" s="61"/>
    </x:row>
    <x:row r="156">
      <x:c r="A156" s="61"/>
      <x:c r="B156" s="61"/>
      <x:c r="C156" s="61"/>
      <x:c r="D156" s="61"/>
      <x:c r="E156" s="61"/>
      <x:c r="F156" s="61"/>
      <x:c r="G156" s="61"/>
      <x:c r="H156" s="61"/>
      <x:c r="I156" s="61"/>
      <x:c r="J156" s="61"/>
      <x:c r="K156" s="61"/>
      <x:c r="L156" s="61"/>
      <x:c r="M156" s="61"/>
      <x:c r="N156" s="61"/>
      <x:c r="O156" s="61"/>
      <x:c r="P156" s="61"/>
      <x:c r="Q156" s="61"/>
    </x:row>
    <x:row r="157">
      <x:c r="A157" s="61"/>
      <x:c r="B157" s="61"/>
      <x:c r="C157" s="61"/>
      <x:c r="D157" s="61"/>
      <x:c r="E157" s="61"/>
      <x:c r="F157" s="61"/>
      <x:c r="G157" s="61"/>
      <x:c r="H157" s="61"/>
      <x:c r="I157" s="61"/>
      <x:c r="J157" s="61"/>
      <x:c r="K157" s="61"/>
      <x:c r="L157" s="61"/>
      <x:c r="M157" s="61"/>
      <x:c r="N157" s="61"/>
      <x:c r="O157" s="61"/>
      <x:c r="P157" s="61"/>
      <x:c r="Q157" s="61"/>
    </x:row>
    <x:row r="158">
      <x:c r="A158" s="61"/>
      <x:c r="B158" s="61"/>
      <x:c r="C158" s="61"/>
      <x:c r="D158" s="61"/>
      <x:c r="E158" s="61"/>
      <x:c r="F158" s="61"/>
      <x:c r="G158" s="61"/>
      <x:c r="H158" s="61"/>
      <x:c r="I158" s="61"/>
      <x:c r="J158" s="61"/>
      <x:c r="K158" s="61"/>
      <x:c r="L158" s="61"/>
      <x:c r="M158" s="61"/>
      <x:c r="N158" s="61"/>
      <x:c r="O158" s="61"/>
      <x:c r="P158" s="61"/>
      <x:c r="Q158" s="61"/>
    </x:row>
    <x:row r="159">
      <x:c r="A159" s="61"/>
      <x:c r="B159" s="61"/>
      <x:c r="C159" s="61"/>
      <x:c r="D159" s="61"/>
      <x:c r="E159" s="61"/>
      <x:c r="F159" s="61"/>
      <x:c r="G159" s="61"/>
      <x:c r="H159" s="61"/>
      <x:c r="I159" s="61"/>
      <x:c r="J159" s="61"/>
      <x:c r="K159" s="61"/>
      <x:c r="L159" s="61"/>
      <x:c r="M159" s="61"/>
      <x:c r="N159" s="61"/>
      <x:c r="O159" s="61"/>
      <x:c r="P159" s="61"/>
      <x:c r="Q159" s="61"/>
    </x:row>
    <x:row r="160">
      <x:c r="A160" s="61"/>
      <x:c r="B160" s="61"/>
      <x:c r="C160" s="61"/>
      <x:c r="D160" s="61"/>
      <x:c r="E160" s="61"/>
      <x:c r="F160" s="61"/>
      <x:c r="G160" s="61"/>
      <x:c r="H160" s="61"/>
      <x:c r="I160" s="61"/>
      <x:c r="J160" s="61"/>
      <x:c r="K160" s="61"/>
      <x:c r="L160" s="61"/>
      <x:c r="M160" s="61"/>
      <x:c r="N160" s="61"/>
      <x:c r="O160" s="61"/>
      <x:c r="P160" s="61"/>
      <x:c r="Q160" s="61"/>
    </x:row>
    <x:row r="161">
      <x:c r="A161" s="61"/>
      <x:c r="B161" s="61"/>
      <x:c r="C161" s="61"/>
      <x:c r="D161" s="61"/>
      <x:c r="E161" s="61"/>
      <x:c r="F161" s="61"/>
      <x:c r="G161" s="61"/>
      <x:c r="H161" s="61"/>
      <x:c r="I161" s="61"/>
      <x:c r="J161" s="61"/>
      <x:c r="K161" s="61"/>
      <x:c r="L161" s="61"/>
      <x:c r="M161" s="61"/>
      <x:c r="N161" s="61"/>
      <x:c r="O161" s="61"/>
      <x:c r="P161" s="61"/>
      <x:c r="Q161" s="61"/>
    </x:row>
    <x:row r="162">
      <x:c r="A162" s="61"/>
      <x:c r="B162" s="61"/>
      <x:c r="C162" s="61"/>
      <x:c r="D162" s="61"/>
      <x:c r="E162" s="61"/>
      <x:c r="F162" s="61"/>
      <x:c r="G162" s="61"/>
      <x:c r="H162" s="61"/>
      <x:c r="I162" s="61"/>
      <x:c r="J162" s="61"/>
      <x:c r="K162" s="61"/>
      <x:c r="L162" s="61"/>
      <x:c r="M162" s="61"/>
      <x:c r="N162" s="61"/>
      <x:c r="O162" s="61"/>
      <x:c r="P162" s="61"/>
      <x:c r="Q162" s="61"/>
    </x:row>
    <x:row r="163">
      <x:c r="A163" s="61"/>
      <x:c r="B163" s="61"/>
      <x:c r="C163" s="61"/>
      <x:c r="D163" s="61"/>
      <x:c r="E163" s="61"/>
      <x:c r="F163" s="61"/>
      <x:c r="G163" s="61"/>
      <x:c r="H163" s="61"/>
      <x:c r="I163" s="61"/>
      <x:c r="J163" s="61"/>
      <x:c r="K163" s="61"/>
      <x:c r="L163" s="61"/>
      <x:c r="M163" s="61"/>
      <x:c r="N163" s="61"/>
      <x:c r="O163" s="61"/>
      <x:c r="P163" s="61"/>
      <x:c r="Q163" s="61"/>
    </x:row>
    <x:row r="164">
      <x:c r="A164" s="61"/>
      <x:c r="B164" s="61"/>
      <x:c r="C164" s="61"/>
      <x:c r="D164" s="61"/>
      <x:c r="E164" s="61"/>
      <x:c r="F164" s="61"/>
      <x:c r="G164" s="61"/>
      <x:c r="H164" s="61"/>
      <x:c r="I164" s="61"/>
      <x:c r="J164" s="61"/>
      <x:c r="K164" s="61"/>
      <x:c r="L164" s="61"/>
      <x:c r="M164" s="61"/>
      <x:c r="N164" s="61"/>
      <x:c r="O164" s="61"/>
      <x:c r="P164" s="61"/>
      <x:c r="Q164" s="61"/>
    </x:row>
    <x:row r="165">
      <x:c r="A165" s="61"/>
      <x:c r="B165" s="61"/>
      <x:c r="C165" s="61"/>
      <x:c r="D165" s="61"/>
      <x:c r="E165" s="61"/>
      <x:c r="F165" s="61"/>
      <x:c r="G165" s="61"/>
      <x:c r="H165" s="61"/>
      <x:c r="I165" s="61"/>
      <x:c r="J165" s="61"/>
      <x:c r="K165" s="61"/>
      <x:c r="L165" s="61"/>
      <x:c r="M165" s="61"/>
      <x:c r="N165" s="61"/>
      <x:c r="O165" s="61"/>
      <x:c r="P165" s="61"/>
      <x:c r="Q165" s="61"/>
    </x:row>
    <x:row r="166">
      <x:c r="A166" s="61"/>
      <x:c r="B166" s="61"/>
      <x:c r="C166" s="61"/>
      <x:c r="D166" s="61"/>
      <x:c r="E166" s="61"/>
      <x:c r="F166" s="61"/>
      <x:c r="G166" s="61"/>
      <x:c r="H166" s="61"/>
      <x:c r="I166" s="61"/>
      <x:c r="J166" s="61"/>
      <x:c r="K166" s="61"/>
      <x:c r="L166" s="61"/>
      <x:c r="M166" s="61"/>
      <x:c r="N166" s="61"/>
      <x:c r="O166" s="61"/>
      <x:c r="P166" s="61"/>
      <x:c r="Q166" s="61"/>
    </x:row>
    <x:row r="167">
      <x:c r="A167" s="61"/>
      <x:c r="B167" s="61"/>
      <x:c r="C167" s="61"/>
      <x:c r="D167" s="61"/>
      <x:c r="E167" s="61"/>
      <x:c r="F167" s="61"/>
      <x:c r="G167" s="61"/>
      <x:c r="H167" s="61"/>
      <x:c r="I167" s="61"/>
      <x:c r="J167" s="61"/>
      <x:c r="K167" s="61"/>
      <x:c r="L167" s="61"/>
      <x:c r="M167" s="61"/>
      <x:c r="N167" s="61"/>
      <x:c r="O167" s="61"/>
      <x:c r="P167" s="61"/>
      <x:c r="Q167" s="61"/>
    </x:row>
    <x:row r="168">
      <x:c r="A168" s="61"/>
      <x:c r="B168" s="61"/>
      <x:c r="C168" s="61"/>
      <x:c r="D168" s="61"/>
      <x:c r="E168" s="61"/>
      <x:c r="F168" s="61"/>
      <x:c r="G168" s="61"/>
      <x:c r="H168" s="61"/>
      <x:c r="I168" s="61"/>
      <x:c r="J168" s="61"/>
      <x:c r="K168" s="61"/>
      <x:c r="L168" s="61"/>
      <x:c r="M168" s="61"/>
      <x:c r="N168" s="61"/>
      <x:c r="O168" s="61"/>
      <x:c r="P168" s="61"/>
      <x:c r="Q168" s="61"/>
    </x:row>
    <x:row r="169">
      <x:c r="A169" s="61"/>
      <x:c r="B169" s="61"/>
      <x:c r="C169" s="61"/>
      <x:c r="D169" s="61"/>
      <x:c r="E169" s="61"/>
      <x:c r="F169" s="61"/>
      <x:c r="G169" s="61"/>
      <x:c r="H169" s="61"/>
      <x:c r="I169" s="61"/>
      <x:c r="J169" s="61"/>
      <x:c r="K169" s="61"/>
      <x:c r="L169" s="61"/>
      <x:c r="M169" s="61"/>
      <x:c r="N169" s="61"/>
      <x:c r="O169" s="61"/>
      <x:c r="P169" s="61"/>
      <x:c r="Q169" s="61"/>
    </x:row>
    <x:row r="170">
      <x:c r="A170" s="61"/>
      <x:c r="B170" s="61"/>
      <x:c r="C170" s="61"/>
      <x:c r="D170" s="61"/>
      <x:c r="E170" s="61"/>
      <x:c r="F170" s="61"/>
      <x:c r="G170" s="61"/>
      <x:c r="H170" s="61"/>
      <x:c r="I170" s="61"/>
      <x:c r="J170" s="61"/>
      <x:c r="K170" s="61"/>
      <x:c r="L170" s="61"/>
      <x:c r="M170" s="61"/>
      <x:c r="N170" s="61"/>
      <x:c r="O170" s="61"/>
      <x:c r="P170" s="61"/>
      <x:c r="Q170" s="61"/>
    </x:row>
    <x:row r="171">
      <x:c r="A171" s="61"/>
      <x:c r="B171" s="61"/>
      <x:c r="C171" s="61"/>
      <x:c r="D171" s="61"/>
      <x:c r="E171" s="61"/>
      <x:c r="F171" s="61"/>
      <x:c r="G171" s="61"/>
      <x:c r="H171" s="61"/>
      <x:c r="I171" s="61"/>
      <x:c r="J171" s="61"/>
      <x:c r="K171" s="61"/>
      <x:c r="L171" s="61"/>
      <x:c r="M171" s="61"/>
      <x:c r="N171" s="61"/>
      <x:c r="O171" s="61"/>
      <x:c r="P171" s="61"/>
      <x:c r="Q171" s="61"/>
    </x:row>
    <x:row r="172">
      <x:c r="A172" s="61"/>
      <x:c r="B172" s="61"/>
      <x:c r="C172" s="61"/>
      <x:c r="D172" s="61"/>
      <x:c r="E172" s="61"/>
      <x:c r="F172" s="61"/>
      <x:c r="G172" s="61"/>
      <x:c r="H172" s="61"/>
      <x:c r="I172" s="61"/>
      <x:c r="J172" s="61"/>
      <x:c r="K172" s="61"/>
      <x:c r="L172" s="61"/>
      <x:c r="M172" s="61"/>
      <x:c r="N172" s="61"/>
      <x:c r="O172" s="61"/>
      <x:c r="P172" s="61"/>
      <x:c r="Q172" s="61"/>
    </x:row>
    <x:row r="173">
      <x:c r="A173" s="61"/>
      <x:c r="B173" s="61"/>
      <x:c r="C173" s="61"/>
      <x:c r="D173" s="61"/>
      <x:c r="E173" s="61"/>
      <x:c r="F173" s="61"/>
      <x:c r="G173" s="61"/>
      <x:c r="H173" s="61"/>
      <x:c r="I173" s="61"/>
      <x:c r="J173" s="61"/>
      <x:c r="K173" s="61"/>
      <x:c r="L173" s="61"/>
      <x:c r="M173" s="61"/>
      <x:c r="N173" s="61"/>
      <x:c r="O173" s="61"/>
      <x:c r="P173" s="61"/>
      <x:c r="Q173" s="61"/>
    </x:row>
    <x:row r="174">
      <x:c r="A174" s="61"/>
      <x:c r="B174" s="61"/>
      <x:c r="C174" s="61"/>
      <x:c r="D174" s="61"/>
      <x:c r="E174" s="61"/>
      <x:c r="F174" s="61"/>
      <x:c r="G174" s="61"/>
      <x:c r="H174" s="61"/>
      <x:c r="I174" s="61"/>
      <x:c r="J174" s="61"/>
      <x:c r="K174" s="61"/>
      <x:c r="L174" s="61"/>
      <x:c r="M174" s="61"/>
      <x:c r="N174" s="61"/>
      <x:c r="O174" s="61"/>
      <x:c r="P174" s="61"/>
      <x:c r="Q174" s="61"/>
    </x:row>
    <x:row r="175">
      <x:c r="A175" s="61"/>
      <x:c r="B175" s="61"/>
      <x:c r="C175" s="61"/>
      <x:c r="D175" s="61"/>
      <x:c r="E175" s="61"/>
      <x:c r="F175" s="61"/>
      <x:c r="G175" s="61"/>
      <x:c r="H175" s="61"/>
      <x:c r="I175" s="61"/>
      <x:c r="J175" s="61"/>
      <x:c r="K175" s="61"/>
      <x:c r="L175" s="61"/>
      <x:c r="M175" s="61"/>
      <x:c r="N175" s="61"/>
      <x:c r="O175" s="61"/>
      <x:c r="P175" s="61"/>
      <x:c r="Q175" s="61"/>
    </x:row>
    <x:row r="176">
      <x:c r="A176" s="61"/>
      <x:c r="B176" s="61"/>
      <x:c r="C176" s="61"/>
      <x:c r="D176" s="61"/>
      <x:c r="E176" s="61"/>
      <x:c r="F176" s="61"/>
      <x:c r="G176" s="61"/>
      <x:c r="H176" s="61"/>
      <x:c r="I176" s="61"/>
      <x:c r="J176" s="61"/>
      <x:c r="K176" s="61"/>
      <x:c r="L176" s="61"/>
      <x:c r="M176" s="61"/>
      <x:c r="N176" s="61"/>
      <x:c r="O176" s="61"/>
      <x:c r="P176" s="61"/>
      <x:c r="Q176" s="61"/>
    </x:row>
    <x:row r="177">
      <x:c r="A177" s="61"/>
      <x:c r="B177" s="61"/>
      <x:c r="C177" s="61"/>
      <x:c r="D177" s="61"/>
      <x:c r="E177" s="61"/>
      <x:c r="F177" s="61"/>
      <x:c r="G177" s="61"/>
      <x:c r="H177" s="61"/>
      <x:c r="I177" s="61"/>
      <x:c r="J177" s="61"/>
      <x:c r="K177" s="61"/>
      <x:c r="L177" s="61"/>
      <x:c r="M177" s="61"/>
      <x:c r="N177" s="61"/>
      <x:c r="O177" s="61"/>
      <x:c r="P177" s="61"/>
      <x:c r="Q177" s="61"/>
    </x:row>
    <x:row r="178">
      <x:c r="A178" s="61"/>
      <x:c r="B178" s="61"/>
      <x:c r="C178" s="61"/>
      <x:c r="D178" s="61"/>
      <x:c r="E178" s="61"/>
      <x:c r="F178" s="61"/>
      <x:c r="G178" s="61"/>
      <x:c r="H178" s="61"/>
      <x:c r="I178" s="61"/>
      <x:c r="J178" s="61"/>
      <x:c r="K178" s="61"/>
      <x:c r="L178" s="61"/>
      <x:c r="M178" s="61"/>
      <x:c r="N178" s="61"/>
      <x:c r="O178" s="61"/>
      <x:c r="P178" s="61"/>
      <x:c r="Q178" s="61"/>
    </x:row>
    <x:row r="179">
      <x:c r="A179" s="61"/>
      <x:c r="B179" s="61"/>
      <x:c r="C179" s="61"/>
      <x:c r="D179" s="61"/>
      <x:c r="E179" s="61"/>
      <x:c r="F179" s="61"/>
      <x:c r="G179" s="61"/>
      <x:c r="H179" s="61"/>
      <x:c r="I179" s="61"/>
      <x:c r="J179" s="61"/>
      <x:c r="K179" s="61"/>
      <x:c r="L179" s="61"/>
      <x:c r="M179" s="61"/>
      <x:c r="N179" s="61"/>
      <x:c r="O179" s="61"/>
      <x:c r="P179" s="61"/>
      <x:c r="Q179" s="61"/>
    </x:row>
    <x:row r="180">
      <x:c r="A180" s="61"/>
      <x:c r="B180" s="61"/>
      <x:c r="C180" s="61"/>
      <x:c r="D180" s="61"/>
      <x:c r="E180" s="61"/>
      <x:c r="F180" s="61"/>
      <x:c r="G180" s="61"/>
      <x:c r="H180" s="61"/>
      <x:c r="I180" s="61"/>
      <x:c r="J180" s="61"/>
      <x:c r="K180" s="61"/>
      <x:c r="L180" s="61"/>
      <x:c r="M180" s="61"/>
      <x:c r="N180" s="61"/>
      <x:c r="O180" s="61"/>
      <x:c r="P180" s="61"/>
      <x:c r="Q180" s="61"/>
    </x:row>
    <x:row r="181">
      <x:c r="A181" s="61"/>
      <x:c r="B181" s="61"/>
      <x:c r="C181" s="61"/>
      <x:c r="D181" s="61"/>
      <x:c r="E181" s="61"/>
      <x:c r="F181" s="61"/>
      <x:c r="G181" s="61"/>
      <x:c r="H181" s="61"/>
      <x:c r="I181" s="61"/>
      <x:c r="J181" s="61"/>
      <x:c r="K181" s="61"/>
      <x:c r="L181" s="61"/>
      <x:c r="M181" s="61"/>
      <x:c r="N181" s="61"/>
      <x:c r="O181" s="61"/>
      <x:c r="P181" s="61"/>
      <x:c r="Q181" s="61"/>
    </x:row>
    <x:row r="182">
      <x:c r="A182" s="61"/>
      <x:c r="B182" s="61"/>
      <x:c r="C182" s="61"/>
      <x:c r="D182" s="61"/>
      <x:c r="E182" s="61"/>
      <x:c r="F182" s="61"/>
      <x:c r="G182" s="61"/>
      <x:c r="H182" s="61"/>
      <x:c r="I182" s="61"/>
      <x:c r="J182" s="61"/>
      <x:c r="K182" s="61"/>
      <x:c r="L182" s="61"/>
      <x:c r="M182" s="61"/>
      <x:c r="N182" s="61"/>
      <x:c r="O182" s="61"/>
      <x:c r="P182" s="61"/>
      <x:c r="Q182" s="61"/>
    </x:row>
    <x:row r="183">
      <x:c r="A183" s="61"/>
      <x:c r="B183" s="61"/>
      <x:c r="C183" s="61"/>
      <x:c r="D183" s="61"/>
      <x:c r="E183" s="61"/>
      <x:c r="F183" s="61"/>
      <x:c r="G183" s="61"/>
      <x:c r="H183" s="61"/>
      <x:c r="I183" s="61"/>
      <x:c r="J183" s="61"/>
      <x:c r="K183" s="61"/>
      <x:c r="L183" s="61"/>
      <x:c r="M183" s="61"/>
      <x:c r="N183" s="61"/>
      <x:c r="O183" s="61"/>
      <x:c r="P183" s="61"/>
      <x:c r="Q183" s="61"/>
    </x:row>
    <x:row r="184">
      <x:c r="A184" s="61"/>
      <x:c r="B184" s="61"/>
      <x:c r="C184" s="61"/>
      <x:c r="D184" s="61"/>
      <x:c r="E184" s="61"/>
      <x:c r="F184" s="61"/>
      <x:c r="G184" s="61"/>
      <x:c r="H184" s="61"/>
      <x:c r="I184" s="61"/>
      <x:c r="J184" s="61"/>
      <x:c r="K184" s="61"/>
      <x:c r="L184" s="61"/>
      <x:c r="M184" s="61"/>
      <x:c r="N184" s="61"/>
      <x:c r="O184" s="61"/>
      <x:c r="P184" s="61"/>
      <x:c r="Q184" s="61"/>
    </x:row>
    <x:row r="185">
      <x:c r="A185" s="61"/>
      <x:c r="B185" s="61"/>
      <x:c r="C185" s="61"/>
      <x:c r="D185" s="61"/>
      <x:c r="E185" s="61"/>
      <x:c r="F185" s="61"/>
      <x:c r="G185" s="61"/>
      <x:c r="H185" s="61"/>
      <x:c r="I185" s="61"/>
      <x:c r="J185" s="61"/>
      <x:c r="K185" s="61"/>
      <x:c r="L185" s="61"/>
      <x:c r="M185" s="61"/>
      <x:c r="N185" s="61"/>
      <x:c r="O185" s="61"/>
      <x:c r="P185" s="61"/>
      <x:c r="Q185" s="61"/>
    </x:row>
    <x:row r="186">
      <x:c r="A186" s="61"/>
      <x:c r="B186" s="61"/>
      <x:c r="C186" s="61"/>
      <x:c r="D186" s="61"/>
      <x:c r="E186" s="61"/>
      <x:c r="F186" s="61"/>
      <x:c r="G186" s="61"/>
      <x:c r="H186" s="61"/>
      <x:c r="I186" s="61"/>
      <x:c r="J186" s="61"/>
      <x:c r="K186" s="61"/>
      <x:c r="L186" s="61"/>
      <x:c r="M186" s="61"/>
      <x:c r="N186" s="61"/>
      <x:c r="O186" s="61"/>
      <x:c r="P186" s="61"/>
      <x:c r="Q186" s="61"/>
    </x:row>
    <x:row r="187">
      <x:c r="A187" s="61"/>
      <x:c r="B187" s="61"/>
      <x:c r="C187" s="61"/>
      <x:c r="D187" s="61"/>
      <x:c r="E187" s="61"/>
      <x:c r="F187" s="61"/>
      <x:c r="G187" s="61"/>
      <x:c r="H187" s="61"/>
      <x:c r="I187" s="61"/>
      <x:c r="J187" s="61"/>
      <x:c r="K187" s="61"/>
      <x:c r="L187" s="61"/>
      <x:c r="M187" s="61"/>
      <x:c r="N187" s="61"/>
      <x:c r="O187" s="61"/>
      <x:c r="P187" s="61"/>
      <x:c r="Q187" s="61"/>
    </x:row>
    <x:row r="188">
      <x:c r="A188" s="61"/>
      <x:c r="B188" s="61"/>
      <x:c r="C188" s="61"/>
      <x:c r="D188" s="61"/>
      <x:c r="E188" s="61"/>
      <x:c r="F188" s="61"/>
      <x:c r="G188" s="61"/>
      <x:c r="H188" s="61"/>
      <x:c r="I188" s="61"/>
      <x:c r="J188" s="61"/>
      <x:c r="K188" s="61"/>
      <x:c r="L188" s="61"/>
      <x:c r="M188" s="61"/>
      <x:c r="N188" s="61"/>
      <x:c r="O188" s="61"/>
      <x:c r="P188" s="61"/>
      <x:c r="Q188" s="61"/>
    </x:row>
    <x:row r="189">
      <x:c r="A189" s="61"/>
      <x:c r="B189" s="61"/>
      <x:c r="C189" s="61"/>
      <x:c r="D189" s="61"/>
      <x:c r="E189" s="61"/>
      <x:c r="F189" s="61"/>
      <x:c r="G189" s="61"/>
      <x:c r="H189" s="61"/>
      <x:c r="I189" s="61"/>
      <x:c r="J189" s="61"/>
      <x:c r="K189" s="61"/>
      <x:c r="L189" s="61"/>
      <x:c r="M189" s="61"/>
      <x:c r="N189" s="61"/>
      <x:c r="O189" s="61"/>
      <x:c r="P189" s="61"/>
      <x:c r="Q189" s="61"/>
    </x:row>
    <x:row r="190">
      <x:c r="A190" s="61"/>
      <x:c r="B190" s="61"/>
      <x:c r="C190" s="61"/>
      <x:c r="D190" s="61"/>
      <x:c r="E190" s="61"/>
      <x:c r="F190" s="61"/>
      <x:c r="G190" s="61"/>
      <x:c r="H190" s="61"/>
      <x:c r="I190" s="61"/>
      <x:c r="J190" s="61"/>
      <x:c r="K190" s="61"/>
      <x:c r="L190" s="61"/>
      <x:c r="M190" s="61"/>
      <x:c r="N190" s="61"/>
      <x:c r="O190" s="61"/>
      <x:c r="P190" s="61"/>
      <x:c r="Q190" s="61"/>
    </x:row>
    <x:row r="191">
      <x:c r="A191" s="61"/>
      <x:c r="B191" s="61"/>
      <x:c r="C191" s="61"/>
      <x:c r="D191" s="61"/>
      <x:c r="E191" s="61"/>
      <x:c r="F191" s="61"/>
      <x:c r="G191" s="61"/>
      <x:c r="H191" s="61"/>
      <x:c r="I191" s="61"/>
      <x:c r="J191" s="61"/>
      <x:c r="K191" s="61"/>
      <x:c r="L191" s="61"/>
      <x:c r="M191" s="61"/>
      <x:c r="N191" s="61"/>
      <x:c r="O191" s="61"/>
      <x:c r="P191" s="61"/>
      <x:c r="Q191" s="61"/>
    </x:row>
    <x:row r="192">
      <x:c r="A192" s="61"/>
      <x:c r="B192" s="61"/>
      <x:c r="C192" s="61"/>
      <x:c r="D192" s="61"/>
      <x:c r="E192" s="61"/>
      <x:c r="F192" s="61"/>
      <x:c r="G192" s="61"/>
      <x:c r="H192" s="61"/>
      <x:c r="I192" s="61"/>
      <x:c r="J192" s="61"/>
      <x:c r="K192" s="61"/>
      <x:c r="L192" s="61"/>
      <x:c r="M192" s="61"/>
      <x:c r="N192" s="61"/>
      <x:c r="O192" s="61"/>
      <x:c r="P192" s="61"/>
      <x:c r="Q192" s="61"/>
    </x:row>
    <x:row r="193">
      <x:c r="A193" s="61"/>
      <x:c r="B193" s="61"/>
      <x:c r="C193" s="61"/>
      <x:c r="D193" s="61"/>
      <x:c r="E193" s="61"/>
      <x:c r="F193" s="61"/>
      <x:c r="G193" s="61"/>
      <x:c r="H193" s="61"/>
      <x:c r="I193" s="61"/>
      <x:c r="J193" s="61"/>
      <x:c r="K193" s="61"/>
      <x:c r="L193" s="61"/>
      <x:c r="M193" s="61"/>
      <x:c r="N193" s="61"/>
      <x:c r="O193" s="61"/>
      <x:c r="P193" s="61"/>
      <x:c r="Q193" s="61"/>
    </x:row>
    <x:row r="194">
      <x:c r="A194" s="61"/>
      <x:c r="B194" s="61"/>
      <x:c r="C194" s="61"/>
      <x:c r="D194" s="61"/>
      <x:c r="E194" s="61"/>
      <x:c r="F194" s="61"/>
      <x:c r="G194" s="61"/>
      <x:c r="H194" s="61"/>
      <x:c r="I194" s="61"/>
      <x:c r="J194" s="61"/>
      <x:c r="K194" s="61"/>
      <x:c r="L194" s="61"/>
      <x:c r="M194" s="61"/>
      <x:c r="N194" s="61"/>
      <x:c r="O194" s="61"/>
      <x:c r="P194" s="61"/>
      <x:c r="Q194" s="61"/>
    </x:row>
    <x:row r="195">
      <x:c r="A195" s="61"/>
      <x:c r="B195" s="61"/>
      <x:c r="C195" s="61"/>
      <x:c r="D195" s="61"/>
      <x:c r="E195" s="61"/>
      <x:c r="F195" s="61"/>
      <x:c r="G195" s="61"/>
      <x:c r="H195" s="61"/>
      <x:c r="I195" s="61"/>
      <x:c r="J195" s="61"/>
      <x:c r="K195" s="61"/>
      <x:c r="L195" s="61"/>
      <x:c r="M195" s="61"/>
      <x:c r="N195" s="61"/>
      <x:c r="O195" s="61"/>
      <x:c r="P195" s="61"/>
      <x:c r="Q195" s="61"/>
    </x:row>
    <x:row r="196">
      <x:c r="A196" s="61"/>
      <x:c r="B196" s="61"/>
      <x:c r="C196" s="61"/>
      <x:c r="D196" s="61"/>
      <x:c r="E196" s="61"/>
      <x:c r="F196" s="61"/>
      <x:c r="G196" s="61"/>
      <x:c r="H196" s="61"/>
      <x:c r="I196" s="61"/>
      <x:c r="J196" s="61"/>
      <x:c r="K196" s="61"/>
      <x:c r="L196" s="61"/>
      <x:c r="M196" s="61"/>
      <x:c r="N196" s="61"/>
      <x:c r="O196" s="61"/>
      <x:c r="P196" s="61"/>
      <x:c r="Q196" s="61"/>
    </x:row>
    <x:row r="197">
      <x:c r="A197" s="61"/>
      <x:c r="B197" s="61"/>
      <x:c r="C197" s="61"/>
      <x:c r="D197" s="61"/>
      <x:c r="E197" s="61"/>
      <x:c r="F197" s="61"/>
      <x:c r="G197" s="61"/>
      <x:c r="H197" s="61"/>
      <x:c r="I197" s="61"/>
      <x:c r="J197" s="61"/>
      <x:c r="K197" s="61"/>
      <x:c r="L197" s="61"/>
      <x:c r="M197" s="61"/>
      <x:c r="N197" s="61"/>
      <x:c r="O197" s="61"/>
      <x:c r="P197" s="61"/>
      <x:c r="Q197" s="61"/>
    </x:row>
    <x:row r="198">
      <x:c r="A198" s="61"/>
      <x:c r="B198" s="61"/>
      <x:c r="C198" s="61"/>
      <x:c r="D198" s="61"/>
      <x:c r="E198" s="61"/>
      <x:c r="F198" s="61"/>
      <x:c r="G198" s="61"/>
      <x:c r="H198" s="61"/>
      <x:c r="I198" s="61"/>
      <x:c r="J198" s="61"/>
      <x:c r="K198" s="61"/>
      <x:c r="L198" s="61"/>
      <x:c r="M198" s="61"/>
      <x:c r="N198" s="61"/>
      <x:c r="O198" s="61"/>
      <x:c r="P198" s="61"/>
      <x:c r="Q198" s="61"/>
    </x:row>
    <x:row r="199">
      <x:c r="A199" s="61"/>
      <x:c r="B199" s="61"/>
      <x:c r="C199" s="61"/>
      <x:c r="D199" s="61"/>
      <x:c r="E199" s="61"/>
      <x:c r="F199" s="61"/>
      <x:c r="G199" s="61"/>
      <x:c r="H199" s="61"/>
      <x:c r="I199" s="61"/>
      <x:c r="J199" s="61"/>
      <x:c r="K199" s="61"/>
      <x:c r="L199" s="61"/>
      <x:c r="M199" s="61"/>
      <x:c r="N199" s="61"/>
      <x:c r="O199" s="61"/>
      <x:c r="P199" s="61"/>
      <x:c r="Q199" s="61"/>
    </x:row>
    <x:row r="200">
      <x:c r="A200" s="61"/>
      <x:c r="B200" s="61"/>
      <x:c r="C200" s="61"/>
      <x:c r="D200" s="61"/>
      <x:c r="E200" s="61"/>
      <x:c r="F200" s="61"/>
      <x:c r="G200" s="61"/>
      <x:c r="H200" s="61"/>
      <x:c r="I200" s="61"/>
      <x:c r="J200" s="61"/>
      <x:c r="K200" s="61"/>
      <x:c r="L200" s="61"/>
      <x:c r="M200" s="61"/>
      <x:c r="N200" s="61"/>
      <x:c r="O200" s="61"/>
      <x:c r="P200" s="61"/>
      <x:c r="Q200" s="61"/>
    </x:row>
    <x:row r="201">
      <x:c r="A201" s="61"/>
      <x:c r="B201" s="61"/>
      <x:c r="C201" s="61"/>
      <x:c r="D201" s="61"/>
      <x:c r="E201" s="61"/>
      <x:c r="F201" s="61"/>
      <x:c r="G201" s="61"/>
      <x:c r="H201" s="61"/>
      <x:c r="I201" s="61"/>
      <x:c r="J201" s="61"/>
      <x:c r="K201" s="61"/>
      <x:c r="L201" s="61"/>
      <x:c r="M201" s="61"/>
      <x:c r="N201" s="61"/>
      <x:c r="O201" s="61"/>
      <x:c r="P201" s="61"/>
      <x:c r="Q201" s="61"/>
    </x:row>
    <x:row r="202">
      <x:c r="A202" s="61"/>
      <x:c r="B202" s="61"/>
      <x:c r="C202" s="61"/>
      <x:c r="D202" s="61"/>
      <x:c r="E202" s="61"/>
      <x:c r="F202" s="61"/>
      <x:c r="G202" s="61"/>
      <x:c r="H202" s="61"/>
      <x:c r="I202" s="61"/>
      <x:c r="J202" s="61"/>
      <x:c r="K202" s="61"/>
      <x:c r="L202" s="61"/>
      <x:c r="M202" s="61"/>
      <x:c r="N202" s="61"/>
      <x:c r="O202" s="61"/>
      <x:c r="P202" s="61"/>
      <x:c r="Q202" s="61"/>
    </x:row>
    <x:row r="203">
      <x:c r="A203" s="61"/>
      <x:c r="B203" s="61"/>
      <x:c r="C203" s="61"/>
      <x:c r="D203" s="61"/>
      <x:c r="E203" s="61"/>
      <x:c r="F203" s="61"/>
      <x:c r="G203" s="61"/>
      <x:c r="H203" s="61"/>
      <x:c r="I203" s="61"/>
      <x:c r="J203" s="61"/>
      <x:c r="K203" s="61"/>
      <x:c r="L203" s="61"/>
      <x:c r="M203" s="61"/>
      <x:c r="N203" s="61"/>
      <x:c r="O203" s="61"/>
      <x:c r="P203" s="61"/>
      <x:c r="Q203" s="61"/>
    </x:row>
    <x:row r="204">
      <x:c r="A204" s="61"/>
      <x:c r="B204" s="61"/>
      <x:c r="C204" s="61"/>
      <x:c r="D204" s="61"/>
      <x:c r="E204" s="61"/>
      <x:c r="F204" s="61"/>
      <x:c r="G204" s="61"/>
      <x:c r="H204" s="61"/>
      <x:c r="I204" s="61"/>
      <x:c r="J204" s="61"/>
      <x:c r="K204" s="61"/>
      <x:c r="L204" s="61"/>
      <x:c r="M204" s="61"/>
      <x:c r="N204" s="61"/>
      <x:c r="O204" s="61"/>
      <x:c r="P204" s="61"/>
      <x:c r="Q204" s="61"/>
    </x:row>
    <x:row r="205">
      <x:c r="A205" s="61"/>
      <x:c r="B205" s="61"/>
      <x:c r="C205" s="61"/>
      <x:c r="D205" s="61"/>
      <x:c r="E205" s="61"/>
      <x:c r="F205" s="61"/>
      <x:c r="G205" s="61"/>
      <x:c r="H205" s="61"/>
      <x:c r="I205" s="61"/>
      <x:c r="J205" s="61"/>
      <x:c r="K205" s="61"/>
      <x:c r="L205" s="61"/>
      <x:c r="M205" s="61"/>
      <x:c r="N205" s="61"/>
      <x:c r="O205" s="61"/>
      <x:c r="P205" s="61"/>
      <x:c r="Q205" s="61"/>
    </x:row>
    <x:row r="206">
      <x:c r="A206" s="61"/>
      <x:c r="B206" s="61"/>
      <x:c r="C206" s="61"/>
      <x:c r="D206" s="61"/>
      <x:c r="E206" s="61"/>
      <x:c r="F206" s="61"/>
      <x:c r="G206" s="61"/>
      <x:c r="H206" s="61"/>
      <x:c r="I206" s="61"/>
      <x:c r="J206" s="61"/>
      <x:c r="K206" s="61"/>
      <x:c r="L206" s="61"/>
      <x:c r="M206" s="61"/>
      <x:c r="N206" s="61"/>
      <x:c r="O206" s="61"/>
      <x:c r="P206" s="61"/>
      <x:c r="Q206" s="61"/>
    </x:row>
    <x:row r="207">
      <x:c r="A207" s="61"/>
      <x:c r="B207" s="61"/>
      <x:c r="C207" s="61"/>
      <x:c r="D207" s="61"/>
      <x:c r="E207" s="61"/>
      <x:c r="F207" s="61"/>
      <x:c r="G207" s="61"/>
      <x:c r="H207" s="61"/>
      <x:c r="I207" s="61"/>
      <x:c r="J207" s="61"/>
      <x:c r="K207" s="61"/>
      <x:c r="L207" s="61"/>
      <x:c r="M207" s="61"/>
      <x:c r="N207" s="61"/>
      <x:c r="O207" s="61"/>
      <x:c r="P207" s="61"/>
      <x:c r="Q207" s="61"/>
    </x:row>
    <x:row r="208">
      <x:c r="A208" s="61"/>
      <x:c r="B208" s="61"/>
      <x:c r="C208" s="61"/>
      <x:c r="D208" s="61"/>
      <x:c r="E208" s="61"/>
      <x:c r="F208" s="61"/>
      <x:c r="G208" s="61"/>
      <x:c r="H208" s="61"/>
      <x:c r="I208" s="61"/>
      <x:c r="J208" s="61"/>
      <x:c r="K208" s="61"/>
      <x:c r="L208" s="61"/>
      <x:c r="M208" s="61"/>
      <x:c r="N208" s="61"/>
      <x:c r="O208" s="61"/>
      <x:c r="P208" s="61"/>
      <x:c r="Q208" s="61"/>
    </x:row>
    <x:row r="209">
      <x:c r="A209" s="61"/>
      <x:c r="B209" s="61"/>
      <x:c r="C209" s="61"/>
      <x:c r="D209" s="61"/>
      <x:c r="E209" s="61"/>
      <x:c r="F209" s="61"/>
      <x:c r="G209" s="61"/>
      <x:c r="H209" s="61"/>
      <x:c r="I209" s="61"/>
      <x:c r="J209" s="61"/>
      <x:c r="K209" s="61"/>
      <x:c r="L209" s="61"/>
      <x:c r="M209" s="61"/>
      <x:c r="N209" s="61"/>
      <x:c r="O209" s="61"/>
      <x:c r="P209" s="61"/>
      <x:c r="Q209" s="61"/>
    </x:row>
    <x:row r="210">
      <x:c r="A210" s="61"/>
      <x:c r="B210" s="61"/>
      <x:c r="C210" s="61"/>
      <x:c r="D210" s="61"/>
      <x:c r="E210" s="61"/>
      <x:c r="F210" s="61"/>
      <x:c r="G210" s="61"/>
      <x:c r="H210" s="61"/>
      <x:c r="I210" s="61"/>
      <x:c r="J210" s="61"/>
      <x:c r="K210" s="61"/>
      <x:c r="L210" s="61"/>
      <x:c r="M210" s="61"/>
      <x:c r="N210" s="61"/>
      <x:c r="O210" s="61"/>
      <x:c r="P210" s="61"/>
      <x:c r="Q210" s="61"/>
    </x:row>
    <x:row r="211">
      <x:c r="A211" s="61"/>
      <x:c r="B211" s="61"/>
      <x:c r="C211" s="61"/>
      <x:c r="D211" s="61"/>
      <x:c r="E211" s="61"/>
      <x:c r="F211" s="61"/>
      <x:c r="G211" s="61"/>
      <x:c r="H211" s="61"/>
      <x:c r="I211" s="61"/>
      <x:c r="J211" s="61"/>
      <x:c r="K211" s="61"/>
      <x:c r="L211" s="61"/>
      <x:c r="M211" s="61"/>
      <x:c r="N211" s="61"/>
      <x:c r="O211" s="61"/>
      <x:c r="P211" s="61"/>
      <x:c r="Q211" s="61"/>
    </x:row>
    <x:row r="212">
      <x:c r="A212" s="61"/>
      <x:c r="B212" s="61"/>
      <x:c r="C212" s="61"/>
      <x:c r="D212" s="61"/>
      <x:c r="E212" s="61"/>
      <x:c r="F212" s="61"/>
      <x:c r="G212" s="61"/>
      <x:c r="H212" s="61"/>
      <x:c r="I212" s="61"/>
      <x:c r="J212" s="61"/>
      <x:c r="K212" s="61"/>
      <x:c r="L212" s="61"/>
      <x:c r="M212" s="61"/>
      <x:c r="N212" s="61"/>
      <x:c r="O212" s="61"/>
      <x:c r="P212" s="61"/>
      <x:c r="Q212" s="61"/>
    </x:row>
    <x:row r="213">
      <x:c r="A213" s="61"/>
      <x:c r="B213" s="61"/>
      <x:c r="C213" s="61"/>
      <x:c r="D213" s="61"/>
      <x:c r="E213" s="61"/>
      <x:c r="F213" s="61"/>
      <x:c r="G213" s="61"/>
      <x:c r="H213" s="61"/>
      <x:c r="I213" s="61"/>
      <x:c r="J213" s="61"/>
      <x:c r="K213" s="61"/>
      <x:c r="L213" s="61"/>
      <x:c r="M213" s="61"/>
      <x:c r="N213" s="61"/>
      <x:c r="O213" s="61"/>
      <x:c r="P213" s="61"/>
      <x:c r="Q213" s="61"/>
    </x:row>
    <x:row r="214">
      <x:c r="A214" s="61"/>
      <x:c r="B214" s="61"/>
      <x:c r="C214" s="61"/>
      <x:c r="D214" s="61"/>
      <x:c r="E214" s="61"/>
      <x:c r="F214" s="61"/>
      <x:c r="G214" s="61"/>
      <x:c r="H214" s="61"/>
      <x:c r="I214" s="61"/>
      <x:c r="J214" s="61"/>
      <x:c r="K214" s="61"/>
      <x:c r="L214" s="61"/>
      <x:c r="M214" s="61"/>
      <x:c r="N214" s="61"/>
      <x:c r="O214" s="61"/>
      <x:c r="P214" s="61"/>
      <x:c r="Q214" s="61"/>
    </x:row>
    <x:row r="215">
      <x:c r="A215" s="61"/>
      <x:c r="B215" s="61"/>
      <x:c r="C215" s="61"/>
      <x:c r="D215" s="61"/>
      <x:c r="E215" s="61"/>
      <x:c r="F215" s="61"/>
      <x:c r="G215" s="61"/>
      <x:c r="H215" s="61"/>
      <x:c r="I215" s="61"/>
      <x:c r="J215" s="61"/>
      <x:c r="K215" s="61"/>
      <x:c r="L215" s="61"/>
      <x:c r="M215" s="61"/>
      <x:c r="N215" s="61"/>
      <x:c r="O215" s="61"/>
      <x:c r="P215" s="61"/>
      <x:c r="Q215" s="61"/>
    </x:row>
    <x:row r="216">
      <x:c r="A216" s="61"/>
      <x:c r="B216" s="61"/>
      <x:c r="C216" s="61"/>
      <x:c r="D216" s="61"/>
      <x:c r="E216" s="61"/>
      <x:c r="F216" s="61"/>
      <x:c r="G216" s="61"/>
      <x:c r="H216" s="61"/>
      <x:c r="I216" s="61"/>
      <x:c r="J216" s="61"/>
      <x:c r="K216" s="61"/>
      <x:c r="L216" s="61"/>
      <x:c r="M216" s="61"/>
      <x:c r="N216" s="61"/>
      <x:c r="O216" s="61"/>
      <x:c r="P216" s="61"/>
      <x:c r="Q216" s="61"/>
    </x:row>
    <x:row r="217">
      <x:c r="A217" s="61"/>
      <x:c r="B217" s="61"/>
      <x:c r="C217" s="61"/>
      <x:c r="D217" s="61"/>
      <x:c r="E217" s="61"/>
      <x:c r="F217" s="61"/>
      <x:c r="G217" s="61"/>
      <x:c r="H217" s="61"/>
      <x:c r="I217" s="61"/>
      <x:c r="J217" s="61"/>
      <x:c r="K217" s="61"/>
      <x:c r="L217" s="61"/>
      <x:c r="M217" s="61"/>
      <x:c r="N217" s="61"/>
      <x:c r="O217" s="61"/>
      <x:c r="P217" s="61"/>
      <x:c r="Q217" s="61"/>
    </x:row>
    <x:row r="218">
      <x:c r="A218" s="61"/>
      <x:c r="B218" s="61"/>
      <x:c r="C218" s="61"/>
      <x:c r="D218" s="61"/>
      <x:c r="E218" s="61"/>
      <x:c r="F218" s="61"/>
      <x:c r="G218" s="61"/>
      <x:c r="H218" s="61"/>
      <x:c r="I218" s="61"/>
      <x:c r="J218" s="61"/>
      <x:c r="K218" s="61"/>
      <x:c r="L218" s="61"/>
      <x:c r="M218" s="61"/>
      <x:c r="N218" s="61"/>
      <x:c r="O218" s="61"/>
      <x:c r="P218" s="61"/>
      <x:c r="Q218" s="61"/>
    </x:row>
    <x:row r="219">
      <x:c r="A219" s="61"/>
      <x:c r="B219" s="61"/>
      <x:c r="C219" s="61"/>
      <x:c r="D219" s="61"/>
      <x:c r="E219" s="61"/>
      <x:c r="F219" s="61"/>
      <x:c r="G219" s="61"/>
      <x:c r="H219" s="61"/>
      <x:c r="I219" s="61"/>
      <x:c r="J219" s="61"/>
      <x:c r="K219" s="61"/>
      <x:c r="L219" s="61"/>
      <x:c r="M219" s="61"/>
      <x:c r="N219" s="61"/>
      <x:c r="O219" s="61"/>
      <x:c r="P219" s="61"/>
      <x:c r="Q219" s="61"/>
    </x:row>
    <x:row r="220">
      <x:c r="A220" s="61"/>
      <x:c r="B220" s="61"/>
      <x:c r="C220" s="61"/>
      <x:c r="D220" s="61"/>
      <x:c r="E220" s="61"/>
      <x:c r="F220" s="61"/>
      <x:c r="G220" s="61"/>
      <x:c r="H220" s="61"/>
      <x:c r="I220" s="61"/>
      <x:c r="J220" s="61"/>
      <x:c r="K220" s="61"/>
      <x:c r="L220" s="61"/>
      <x:c r="M220" s="61"/>
      <x:c r="N220" s="61"/>
      <x:c r="O220" s="61"/>
      <x:c r="P220" s="61"/>
      <x:c r="Q220" s="61"/>
    </x:row>
    <x:row r="221">
      <x:c r="A221" s="61"/>
      <x:c r="B221" s="61"/>
      <x:c r="C221" s="61"/>
      <x:c r="D221" s="61"/>
      <x:c r="E221" s="61"/>
      <x:c r="F221" s="61"/>
      <x:c r="G221" s="61"/>
      <x:c r="H221" s="61"/>
      <x:c r="I221" s="61"/>
      <x:c r="J221" s="61"/>
      <x:c r="K221" s="61"/>
      <x:c r="L221" s="61"/>
      <x:c r="M221" s="61"/>
      <x:c r="N221" s="61"/>
      <x:c r="O221" s="61"/>
      <x:c r="P221" s="61"/>
      <x:c r="Q221" s="61"/>
    </x:row>
    <x:row r="222">
      <x:c r="A222" s="61"/>
      <x:c r="B222" s="61"/>
      <x:c r="C222" s="61"/>
      <x:c r="D222" s="61"/>
      <x:c r="E222" s="61"/>
      <x:c r="F222" s="61"/>
      <x:c r="G222" s="61"/>
      <x:c r="H222" s="61"/>
      <x:c r="I222" s="61"/>
      <x:c r="J222" s="61"/>
      <x:c r="K222" s="61"/>
      <x:c r="L222" s="61"/>
      <x:c r="M222" s="61"/>
      <x:c r="N222" s="61"/>
      <x:c r="O222" s="61"/>
      <x:c r="P222" s="61"/>
      <x:c r="Q222" s="61"/>
    </x:row>
    <x:row r="223">
      <x:c r="A223" s="61"/>
      <x:c r="B223" s="61"/>
      <x:c r="C223" s="61"/>
      <x:c r="D223" s="61"/>
      <x:c r="E223" s="61"/>
      <x:c r="F223" s="61"/>
      <x:c r="G223" s="61"/>
      <x:c r="H223" s="61"/>
      <x:c r="I223" s="61"/>
      <x:c r="J223" s="61"/>
      <x:c r="K223" s="61"/>
      <x:c r="L223" s="61"/>
      <x:c r="M223" s="61"/>
      <x:c r="N223" s="61"/>
      <x:c r="O223" s="61"/>
      <x:c r="P223" s="61"/>
      <x:c r="Q223" s="61"/>
    </x:row>
    <x:row r="224">
      <x:c r="A224" s="61"/>
      <x:c r="B224" s="61"/>
      <x:c r="C224" s="61"/>
      <x:c r="D224" s="61"/>
      <x:c r="E224" s="61"/>
      <x:c r="F224" s="61"/>
      <x:c r="G224" s="61"/>
      <x:c r="H224" s="61"/>
      <x:c r="I224" s="61"/>
      <x:c r="J224" s="61"/>
      <x:c r="K224" s="61"/>
      <x:c r="L224" s="61"/>
      <x:c r="M224" s="61"/>
      <x:c r="N224" s="61"/>
      <x:c r="O224" s="61"/>
      <x:c r="P224" s="61"/>
      <x:c r="Q224" s="61"/>
    </x:row>
    <x:row r="225">
      <x:c r="A225" s="61"/>
      <x:c r="B225" s="61"/>
      <x:c r="C225" s="61"/>
      <x:c r="D225" s="61"/>
      <x:c r="E225" s="61"/>
      <x:c r="F225" s="61"/>
      <x:c r="G225" s="61"/>
      <x:c r="H225" s="61"/>
      <x:c r="I225" s="61"/>
      <x:c r="J225" s="61"/>
      <x:c r="K225" s="61"/>
      <x:c r="L225" s="61"/>
      <x:c r="M225" s="61"/>
      <x:c r="N225" s="61"/>
      <x:c r="O225" s="61"/>
      <x:c r="P225" s="61"/>
      <x:c r="Q225" s="61"/>
    </x:row>
    <x:row r="226">
      <x:c r="A226" s="61"/>
      <x:c r="B226" s="61"/>
      <x:c r="C226" s="61"/>
      <x:c r="D226" s="61"/>
      <x:c r="E226" s="61"/>
      <x:c r="F226" s="61"/>
      <x:c r="G226" s="61"/>
      <x:c r="H226" s="61"/>
      <x:c r="I226" s="61"/>
      <x:c r="J226" s="61"/>
      <x:c r="K226" s="61"/>
      <x:c r="L226" s="61"/>
      <x:c r="M226" s="61"/>
      <x:c r="N226" s="61"/>
      <x:c r="O226" s="61"/>
      <x:c r="P226" s="61"/>
      <x:c r="Q226" s="61"/>
    </x:row>
    <x:row r="227">
      <x:c r="A227" s="61"/>
      <x:c r="B227" s="61"/>
      <x:c r="C227" s="61"/>
      <x:c r="D227" s="61"/>
      <x:c r="E227" s="61"/>
      <x:c r="F227" s="61"/>
      <x:c r="G227" s="61"/>
      <x:c r="H227" s="61"/>
      <x:c r="I227" s="61"/>
      <x:c r="J227" s="61"/>
      <x:c r="K227" s="61"/>
      <x:c r="L227" s="61"/>
      <x:c r="M227" s="61"/>
      <x:c r="N227" s="61"/>
      <x:c r="O227" s="61"/>
      <x:c r="P227" s="61"/>
      <x:c r="Q227" s="61"/>
    </x:row>
    <x:row r="228">
      <x:c r="A228" s="61"/>
      <x:c r="B228" s="61"/>
      <x:c r="C228" s="61"/>
      <x:c r="D228" s="61"/>
      <x:c r="E228" s="61"/>
      <x:c r="F228" s="61"/>
      <x:c r="G228" s="61"/>
      <x:c r="H228" s="61"/>
      <x:c r="I228" s="61"/>
      <x:c r="J228" s="61"/>
      <x:c r="K228" s="61"/>
      <x:c r="L228" s="61"/>
      <x:c r="M228" s="61"/>
      <x:c r="N228" s="61"/>
      <x:c r="O228" s="61"/>
      <x:c r="P228" s="61"/>
      <x:c r="Q228" s="61"/>
    </x:row>
    <x:row r="229">
      <x:c r="A229" s="61"/>
      <x:c r="B229" s="61"/>
      <x:c r="C229" s="61"/>
      <x:c r="D229" s="61"/>
      <x:c r="E229" s="61"/>
      <x:c r="F229" s="61"/>
      <x:c r="G229" s="61"/>
      <x:c r="H229" s="61"/>
      <x:c r="I229" s="61"/>
      <x:c r="J229" s="61"/>
      <x:c r="K229" s="61"/>
      <x:c r="L229" s="61"/>
      <x:c r="M229" s="61"/>
      <x:c r="N229" s="61"/>
      <x:c r="O229" s="61"/>
      <x:c r="P229" s="61"/>
      <x:c r="Q229" s="61"/>
    </x:row>
    <x:row r="230">
      <x:c r="A230" s="61"/>
      <x:c r="B230" s="61"/>
      <x:c r="C230" s="61"/>
      <x:c r="D230" s="61"/>
      <x:c r="E230" s="61"/>
      <x:c r="F230" s="61"/>
      <x:c r="G230" s="61"/>
      <x:c r="H230" s="61"/>
      <x:c r="I230" s="61"/>
      <x:c r="J230" s="61"/>
      <x:c r="K230" s="61"/>
      <x:c r="L230" s="61"/>
      <x:c r="M230" s="61"/>
      <x:c r="N230" s="61"/>
      <x:c r="O230" s="61"/>
      <x:c r="P230" s="61"/>
      <x:c r="Q230" s="61"/>
    </x:row>
    <x:row r="231">
      <x:c r="A231" s="61"/>
      <x:c r="B231" s="61"/>
      <x:c r="C231" s="61"/>
      <x:c r="D231" s="61"/>
      <x:c r="E231" s="61"/>
      <x:c r="F231" s="61"/>
      <x:c r="G231" s="61"/>
      <x:c r="H231" s="61"/>
      <x:c r="I231" s="61"/>
      <x:c r="J231" s="61"/>
      <x:c r="K231" s="61"/>
      <x:c r="L231" s="61"/>
      <x:c r="M231" s="61"/>
      <x:c r="N231" s="61"/>
      <x:c r="O231" s="61"/>
      <x:c r="P231" s="61"/>
      <x:c r="Q231" s="61"/>
    </x:row>
    <x:row r="232">
      <x:c r="A232" s="61"/>
      <x:c r="B232" s="61"/>
      <x:c r="C232" s="61"/>
      <x:c r="D232" s="61"/>
      <x:c r="E232" s="61"/>
      <x:c r="F232" s="61"/>
      <x:c r="G232" s="61"/>
      <x:c r="H232" s="61"/>
      <x:c r="I232" s="61"/>
      <x:c r="J232" s="61"/>
      <x:c r="K232" s="61"/>
      <x:c r="L232" s="61"/>
      <x:c r="M232" s="61"/>
      <x:c r="N232" s="61"/>
      <x:c r="O232" s="61"/>
      <x:c r="P232" s="61"/>
      <x:c r="Q232" s="61"/>
    </x:row>
    <x:row r="233">
      <x:c r="A233" s="61"/>
      <x:c r="B233" s="61"/>
      <x:c r="C233" s="61"/>
      <x:c r="D233" s="61"/>
      <x:c r="E233" s="61"/>
      <x:c r="F233" s="61"/>
      <x:c r="G233" s="61"/>
      <x:c r="H233" s="61"/>
      <x:c r="I233" s="61"/>
      <x:c r="J233" s="61"/>
      <x:c r="K233" s="61"/>
      <x:c r="L233" s="61"/>
      <x:c r="M233" s="61"/>
      <x:c r="N233" s="61"/>
      <x:c r="O233" s="61"/>
      <x:c r="P233" s="61"/>
      <x:c r="Q233" s="61"/>
    </x:row>
    <x:row r="234">
      <x:c r="A234" s="61"/>
      <x:c r="B234" s="61"/>
      <x:c r="C234" s="61"/>
      <x:c r="D234" s="61"/>
      <x:c r="E234" s="61"/>
      <x:c r="F234" s="61"/>
      <x:c r="G234" s="61"/>
      <x:c r="H234" s="61"/>
      <x:c r="I234" s="61"/>
      <x:c r="J234" s="61"/>
      <x:c r="K234" s="61"/>
      <x:c r="L234" s="61"/>
      <x:c r="M234" s="61"/>
      <x:c r="N234" s="61"/>
      <x:c r="O234" s="61"/>
      <x:c r="P234" s="61"/>
      <x:c r="Q234" s="61"/>
    </x:row>
    <x:row r="235">
      <x:c r="A235" s="61"/>
      <x:c r="B235" s="61"/>
      <x:c r="C235" s="61"/>
      <x:c r="D235" s="61"/>
      <x:c r="E235" s="61"/>
      <x:c r="F235" s="61"/>
      <x:c r="G235" s="61"/>
      <x:c r="H235" s="61"/>
      <x:c r="I235" s="61"/>
      <x:c r="J235" s="61"/>
      <x:c r="K235" s="61"/>
      <x:c r="L235" s="61"/>
      <x:c r="M235" s="61"/>
      <x:c r="N235" s="61"/>
      <x:c r="O235" s="61"/>
      <x:c r="P235" s="61"/>
      <x:c r="Q235" s="61"/>
    </x:row>
    <x:row r="236">
      <x:c r="A236" s="61"/>
      <x:c r="B236" s="61"/>
      <x:c r="C236" s="61"/>
      <x:c r="D236" s="61"/>
      <x:c r="E236" s="61"/>
      <x:c r="F236" s="61"/>
      <x:c r="G236" s="61"/>
      <x:c r="H236" s="61"/>
      <x:c r="I236" s="61"/>
      <x:c r="J236" s="61"/>
      <x:c r="K236" s="61"/>
      <x:c r="L236" s="61"/>
      <x:c r="M236" s="61"/>
      <x:c r="N236" s="61"/>
      <x:c r="O236" s="61"/>
      <x:c r="P236" s="61"/>
      <x:c r="Q236" s="61"/>
    </x:row>
    <x:row r="237">
      <x:c r="A237" s="61"/>
      <x:c r="B237" s="61"/>
      <x:c r="C237" s="61"/>
      <x:c r="D237" s="61"/>
      <x:c r="E237" s="61"/>
      <x:c r="F237" s="61"/>
      <x:c r="G237" s="61"/>
      <x:c r="H237" s="61"/>
      <x:c r="I237" s="61"/>
      <x:c r="J237" s="61"/>
      <x:c r="K237" s="61"/>
      <x:c r="L237" s="61"/>
      <x:c r="M237" s="61"/>
      <x:c r="N237" s="61"/>
      <x:c r="O237" s="61"/>
      <x:c r="P237" s="61"/>
      <x:c r="Q237" s="61"/>
    </x:row>
    <x:row r="238">
      <x:c r="A238" s="61"/>
      <x:c r="B238" s="61"/>
      <x:c r="C238" s="61"/>
      <x:c r="D238" s="61"/>
      <x:c r="E238" s="61"/>
      <x:c r="F238" s="61"/>
      <x:c r="G238" s="61"/>
      <x:c r="H238" s="61"/>
      <x:c r="I238" s="61"/>
      <x:c r="J238" s="61"/>
      <x:c r="K238" s="61"/>
      <x:c r="L238" s="61"/>
      <x:c r="M238" s="61"/>
      <x:c r="N238" s="61"/>
      <x:c r="O238" s="61"/>
      <x:c r="P238" s="61"/>
      <x:c r="Q238" s="61"/>
    </x:row>
    <x:row r="239">
      <x:c r="A239" s="61"/>
      <x:c r="B239" s="61"/>
      <x:c r="C239" s="61"/>
      <x:c r="D239" s="61"/>
      <x:c r="E239" s="61"/>
      <x:c r="F239" s="61"/>
      <x:c r="G239" s="61"/>
      <x:c r="H239" s="61"/>
      <x:c r="I239" s="61"/>
      <x:c r="J239" s="61"/>
      <x:c r="K239" s="61"/>
      <x:c r="L239" s="61"/>
      <x:c r="M239" s="61"/>
      <x:c r="N239" s="61"/>
      <x:c r="O239" s="61"/>
      <x:c r="P239" s="61"/>
      <x:c r="Q239" s="61"/>
    </x:row>
    <x:row r="240">
      <x:c r="A240" s="61"/>
      <x:c r="B240" s="61"/>
      <x:c r="C240" s="61"/>
      <x:c r="D240" s="61"/>
      <x:c r="E240" s="61"/>
      <x:c r="F240" s="61"/>
      <x:c r="G240" s="61"/>
      <x:c r="H240" s="61"/>
      <x:c r="I240" s="61"/>
      <x:c r="J240" s="61"/>
      <x:c r="K240" s="61"/>
      <x:c r="L240" s="61"/>
      <x:c r="M240" s="61"/>
      <x:c r="N240" s="61"/>
      <x:c r="O240" s="61"/>
      <x:c r="P240" s="61"/>
      <x:c r="Q240" s="61"/>
    </x:row>
    <x:row r="241">
      <x:c r="A241" s="61"/>
      <x:c r="B241" s="61"/>
      <x:c r="C241" s="61"/>
      <x:c r="D241" s="61"/>
      <x:c r="E241" s="61"/>
      <x:c r="F241" s="61"/>
      <x:c r="G241" s="61"/>
      <x:c r="H241" s="61"/>
      <x:c r="I241" s="61"/>
      <x:c r="J241" s="61"/>
      <x:c r="K241" s="61"/>
      <x:c r="L241" s="61"/>
      <x:c r="M241" s="61"/>
      <x:c r="N241" s="61"/>
      <x:c r="O241" s="61"/>
      <x:c r="P241" s="61"/>
      <x:c r="Q241" s="61"/>
    </x:row>
    <x:row r="242">
      <x:c r="A242" s="61"/>
      <x:c r="B242" s="61"/>
      <x:c r="C242" s="61"/>
      <x:c r="D242" s="61"/>
      <x:c r="E242" s="61"/>
      <x:c r="F242" s="61"/>
      <x:c r="G242" s="61"/>
      <x:c r="H242" s="61"/>
      <x:c r="I242" s="61"/>
      <x:c r="J242" s="61"/>
      <x:c r="K242" s="61"/>
      <x:c r="L242" s="61"/>
      <x:c r="M242" s="61"/>
      <x:c r="N242" s="61"/>
      <x:c r="O242" s="61"/>
      <x:c r="P242" s="61"/>
      <x:c r="Q242" s="61"/>
    </x:row>
    <x:row r="243">
      <x:c r="A243" s="61"/>
      <x:c r="B243" s="61"/>
      <x:c r="C243" s="61"/>
      <x:c r="D243" s="61"/>
      <x:c r="E243" s="61"/>
      <x:c r="F243" s="61"/>
      <x:c r="G243" s="61"/>
      <x:c r="H243" s="61"/>
      <x:c r="I243" s="61"/>
      <x:c r="J243" s="61"/>
      <x:c r="K243" s="61"/>
      <x:c r="L243" s="61"/>
      <x:c r="M243" s="61"/>
      <x:c r="N243" s="61"/>
      <x:c r="O243" s="61"/>
      <x:c r="P243" s="61"/>
      <x:c r="Q243" s="61"/>
    </x:row>
    <x:row r="244">
      <x:c r="A244" s="61"/>
      <x:c r="B244" s="61"/>
      <x:c r="C244" s="61"/>
      <x:c r="D244" s="61"/>
      <x:c r="E244" s="61"/>
      <x:c r="F244" s="61"/>
      <x:c r="G244" s="61"/>
      <x:c r="H244" s="61"/>
      <x:c r="I244" s="61"/>
      <x:c r="J244" s="61"/>
      <x:c r="K244" s="61"/>
      <x:c r="L244" s="61"/>
      <x:c r="M244" s="61"/>
      <x:c r="N244" s="61"/>
      <x:c r="O244" s="61"/>
      <x:c r="P244" s="61"/>
      <x:c r="Q244" s="61"/>
    </x:row>
    <x:row r="245">
      <x:c r="A245" s="61"/>
      <x:c r="B245" s="61"/>
      <x:c r="C245" s="61"/>
      <x:c r="D245" s="61"/>
      <x:c r="E245" s="61"/>
      <x:c r="F245" s="61"/>
      <x:c r="G245" s="61"/>
      <x:c r="H245" s="61"/>
      <x:c r="I245" s="61"/>
      <x:c r="J245" s="61"/>
      <x:c r="K245" s="61"/>
      <x:c r="L245" s="61"/>
      <x:c r="M245" s="61"/>
      <x:c r="N245" s="61"/>
      <x:c r="O245" s="61"/>
      <x:c r="P245" s="61"/>
      <x:c r="Q245" s="61"/>
    </x:row>
    <x:row r="246">
      <x:c r="A246" s="61"/>
      <x:c r="B246" s="61"/>
      <x:c r="C246" s="61"/>
      <x:c r="D246" s="61"/>
      <x:c r="E246" s="61"/>
      <x:c r="F246" s="61"/>
      <x:c r="G246" s="61"/>
      <x:c r="H246" s="61"/>
      <x:c r="I246" s="61"/>
      <x:c r="J246" s="61"/>
      <x:c r="K246" s="61"/>
      <x:c r="L246" s="61"/>
      <x:c r="M246" s="61"/>
      <x:c r="N246" s="61"/>
      <x:c r="O246" s="61"/>
      <x:c r="P246" s="61"/>
      <x:c r="Q246" s="61"/>
    </x:row>
    <x:row r="247">
      <x:c r="A247" s="61"/>
      <x:c r="B247" s="61"/>
      <x:c r="C247" s="61"/>
      <x:c r="D247" s="61"/>
      <x:c r="E247" s="61"/>
      <x:c r="F247" s="61"/>
      <x:c r="G247" s="61"/>
      <x:c r="H247" s="61"/>
      <x:c r="I247" s="61"/>
      <x:c r="J247" s="61"/>
      <x:c r="K247" s="61"/>
      <x:c r="L247" s="61"/>
      <x:c r="M247" s="61"/>
      <x:c r="N247" s="61"/>
      <x:c r="O247" s="61"/>
      <x:c r="P247" s="61"/>
      <x:c r="Q247" s="61"/>
    </x:row>
    <x:row r="248">
      <x:c r="A248" s="61"/>
      <x:c r="B248" s="61"/>
      <x:c r="C248" s="61"/>
      <x:c r="D248" s="61"/>
      <x:c r="E248" s="61"/>
      <x:c r="F248" s="61"/>
      <x:c r="G248" s="61"/>
      <x:c r="H248" s="61"/>
      <x:c r="I248" s="61"/>
      <x:c r="J248" s="61"/>
      <x:c r="K248" s="61"/>
      <x:c r="L248" s="61"/>
      <x:c r="M248" s="61"/>
      <x:c r="N248" s="61"/>
      <x:c r="O248" s="61"/>
      <x:c r="P248" s="61"/>
      <x:c r="Q248" s="61"/>
    </x:row>
    <x:row r="249">
      <x:c r="A249" s="61"/>
      <x:c r="B249" s="61"/>
      <x:c r="C249" s="61"/>
      <x:c r="D249" s="61"/>
      <x:c r="E249" s="61"/>
      <x:c r="F249" s="61"/>
      <x:c r="G249" s="61"/>
      <x:c r="H249" s="61"/>
      <x:c r="I249" s="61"/>
      <x:c r="J249" s="61"/>
      <x:c r="K249" s="61"/>
      <x:c r="L249" s="61"/>
      <x:c r="M249" s="61"/>
      <x:c r="N249" s="61"/>
      <x:c r="O249" s="61"/>
      <x:c r="P249" s="61"/>
      <x:c r="Q249" s="61"/>
    </x:row>
    <x:row r="250">
      <x:c r="A250" s="61"/>
      <x:c r="B250" s="61"/>
      <x:c r="C250" s="61"/>
      <x:c r="D250" s="61"/>
      <x:c r="E250" s="61"/>
      <x:c r="F250" s="61"/>
      <x:c r="G250" s="61"/>
      <x:c r="H250" s="61"/>
      <x:c r="I250" s="61"/>
      <x:c r="J250" s="61"/>
      <x:c r="K250" s="61"/>
      <x:c r="L250" s="61"/>
      <x:c r="M250" s="61"/>
      <x:c r="N250" s="61"/>
      <x:c r="O250" s="61"/>
      <x:c r="P250" s="61"/>
      <x:c r="Q250" s="61"/>
    </x:row>
    <x:row r="251">
      <x:c r="A251" s="61"/>
      <x:c r="B251" s="61"/>
      <x:c r="C251" s="61"/>
      <x:c r="D251" s="61"/>
      <x:c r="E251" s="61"/>
      <x:c r="F251" s="61"/>
      <x:c r="G251" s="61"/>
      <x:c r="H251" s="61"/>
      <x:c r="I251" s="61"/>
      <x:c r="J251" s="61"/>
      <x:c r="K251" s="61"/>
      <x:c r="L251" s="61"/>
      <x:c r="M251" s="61"/>
      <x:c r="N251" s="61"/>
      <x:c r="O251" s="61"/>
      <x:c r="P251" s="61"/>
      <x:c r="Q251" s="61"/>
    </x:row>
    <x:row r="252">
      <x:c r="A252" s="61"/>
      <x:c r="B252" s="61"/>
      <x:c r="C252" s="61"/>
      <x:c r="D252" s="61"/>
      <x:c r="E252" s="61"/>
      <x:c r="F252" s="61"/>
      <x:c r="G252" s="61"/>
      <x:c r="H252" s="61"/>
      <x:c r="I252" s="61"/>
      <x:c r="J252" s="61"/>
      <x:c r="K252" s="61"/>
      <x:c r="L252" s="61"/>
      <x:c r="M252" s="61"/>
      <x:c r="N252" s="61"/>
      <x:c r="O252" s="61"/>
      <x:c r="P252" s="61"/>
      <x:c r="Q252" s="61"/>
    </x:row>
    <x:row r="253">
      <x:c r="A253" s="61"/>
      <x:c r="B253" s="61"/>
      <x:c r="C253" s="61"/>
      <x:c r="D253" s="61"/>
      <x:c r="E253" s="61"/>
      <x:c r="F253" s="61"/>
      <x:c r="G253" s="61"/>
      <x:c r="H253" s="61"/>
      <x:c r="I253" s="61"/>
      <x:c r="J253" s="61"/>
      <x:c r="K253" s="61"/>
      <x:c r="L253" s="61"/>
      <x:c r="M253" s="61"/>
      <x:c r="N253" s="61"/>
      <x:c r="O253" s="61"/>
      <x:c r="P253" s="61"/>
      <x:c r="Q253" s="61"/>
    </x:row>
    <x:row r="254">
      <x:c r="A254" s="61"/>
      <x:c r="B254" s="61"/>
      <x:c r="C254" s="61"/>
      <x:c r="D254" s="61"/>
      <x:c r="E254" s="61"/>
      <x:c r="F254" s="61"/>
      <x:c r="G254" s="61"/>
      <x:c r="H254" s="61"/>
      <x:c r="I254" s="61"/>
      <x:c r="J254" s="61"/>
      <x:c r="K254" s="61"/>
      <x:c r="L254" s="61"/>
      <x:c r="M254" s="61"/>
      <x:c r="N254" s="61"/>
      <x:c r="O254" s="61"/>
      <x:c r="P254" s="61"/>
      <x:c r="Q254" s="61"/>
    </x:row>
    <x:row r="255">
      <x:c r="A255" s="61"/>
      <x:c r="B255" s="61"/>
      <x:c r="C255" s="61"/>
      <x:c r="D255" s="61"/>
      <x:c r="E255" s="61"/>
      <x:c r="F255" s="61"/>
      <x:c r="G255" s="61"/>
      <x:c r="H255" s="61"/>
      <x:c r="I255" s="61"/>
      <x:c r="J255" s="61"/>
      <x:c r="K255" s="61"/>
      <x:c r="L255" s="61"/>
      <x:c r="M255" s="61"/>
      <x:c r="N255" s="61"/>
      <x:c r="O255" s="61"/>
      <x:c r="P255" s="61"/>
      <x:c r="Q255" s="61"/>
    </x:row>
    <x:row r="256">
      <x:c r="A256" s="61"/>
      <x:c r="B256" s="61"/>
      <x:c r="C256" s="61"/>
      <x:c r="D256" s="61"/>
      <x:c r="E256" s="61"/>
      <x:c r="F256" s="61"/>
      <x:c r="G256" s="61"/>
      <x:c r="H256" s="61"/>
      <x:c r="I256" s="61"/>
      <x:c r="J256" s="61"/>
      <x:c r="K256" s="61"/>
      <x:c r="L256" s="61"/>
      <x:c r="M256" s="61"/>
      <x:c r="N256" s="61"/>
      <x:c r="O256" s="61"/>
      <x:c r="P256" s="61"/>
      <x:c r="Q256" s="61"/>
    </x:row>
    <x:row r="257">
      <x:c r="A257" s="61"/>
      <x:c r="B257" s="61"/>
      <x:c r="C257" s="61"/>
      <x:c r="D257" s="61"/>
      <x:c r="E257" s="61"/>
      <x:c r="F257" s="61"/>
      <x:c r="G257" s="61"/>
      <x:c r="H257" s="61"/>
      <x:c r="I257" s="61"/>
      <x:c r="J257" s="61"/>
      <x:c r="K257" s="61"/>
      <x:c r="L257" s="61"/>
      <x:c r="M257" s="61"/>
      <x:c r="N257" s="61"/>
      <x:c r="O257" s="61"/>
      <x:c r="P257" s="61"/>
      <x:c r="Q257" s="61"/>
    </x:row>
    <x:row r="258">
      <x:c r="A258" s="61"/>
      <x:c r="B258" s="61"/>
      <x:c r="C258" s="61"/>
      <x:c r="D258" s="61"/>
      <x:c r="E258" s="61"/>
      <x:c r="F258" s="61"/>
      <x:c r="G258" s="61"/>
      <x:c r="H258" s="61"/>
      <x:c r="I258" s="61"/>
      <x:c r="J258" s="61"/>
      <x:c r="K258" s="61"/>
      <x:c r="L258" s="61"/>
      <x:c r="M258" s="61"/>
      <x:c r="N258" s="61"/>
      <x:c r="O258" s="61"/>
      <x:c r="P258" s="61"/>
      <x:c r="Q258" s="61"/>
    </x:row>
    <x:row r="259">
      <x:c r="A259" s="61"/>
      <x:c r="B259" s="61"/>
      <x:c r="C259" s="61"/>
      <x:c r="D259" s="61"/>
      <x:c r="E259" s="61"/>
      <x:c r="F259" s="61"/>
      <x:c r="G259" s="61"/>
      <x:c r="H259" s="61"/>
      <x:c r="I259" s="61"/>
      <x:c r="J259" s="61"/>
      <x:c r="K259" s="61"/>
      <x:c r="L259" s="61"/>
      <x:c r="M259" s="61"/>
      <x:c r="N259" s="61"/>
      <x:c r="O259" s="61"/>
      <x:c r="P259" s="61"/>
      <x:c r="Q259" s="61"/>
    </x:row>
    <x:row r="260">
      <x:c r="A260" s="61"/>
      <x:c r="B260" s="61"/>
      <x:c r="C260" s="61"/>
      <x:c r="D260" s="61"/>
      <x:c r="E260" s="61"/>
      <x:c r="F260" s="61"/>
      <x:c r="G260" s="61"/>
      <x:c r="H260" s="61"/>
      <x:c r="I260" s="61"/>
      <x:c r="J260" s="61"/>
      <x:c r="K260" s="61"/>
      <x:c r="L260" s="61"/>
      <x:c r="M260" s="61"/>
      <x:c r="N260" s="61"/>
      <x:c r="O260" s="61"/>
      <x:c r="P260" s="61"/>
      <x:c r="Q260" s="61"/>
    </x:row>
    <x:row r="261">
      <x:c r="A261" s="61"/>
      <x:c r="B261" s="61"/>
      <x:c r="C261" s="61"/>
      <x:c r="D261" s="61"/>
      <x:c r="E261" s="61"/>
      <x:c r="F261" s="61"/>
      <x:c r="G261" s="61"/>
      <x:c r="H261" s="61"/>
      <x:c r="I261" s="61"/>
      <x:c r="J261" s="61"/>
      <x:c r="K261" s="61"/>
      <x:c r="L261" s="61"/>
      <x:c r="M261" s="61"/>
      <x:c r="N261" s="61"/>
      <x:c r="O261" s="61"/>
      <x:c r="P261" s="61"/>
      <x:c r="Q261" s="61"/>
    </x:row>
    <x:row r="262">
      <x:c r="A262" s="61"/>
      <x:c r="B262" s="61"/>
      <x:c r="C262" s="61"/>
      <x:c r="D262" s="61"/>
      <x:c r="E262" s="61"/>
      <x:c r="F262" s="61"/>
      <x:c r="G262" s="61"/>
      <x:c r="H262" s="61"/>
      <x:c r="I262" s="61"/>
      <x:c r="J262" s="61"/>
      <x:c r="K262" s="61"/>
      <x:c r="L262" s="61"/>
      <x:c r="M262" s="61"/>
      <x:c r="N262" s="61"/>
      <x:c r="O262" s="61"/>
      <x:c r="P262" s="61"/>
      <x:c r="Q262" s="61"/>
    </x:row>
    <x:row r="263">
      <x:c r="A263" s="61"/>
      <x:c r="B263" s="61"/>
      <x:c r="C263" s="61"/>
      <x:c r="D263" s="61"/>
      <x:c r="E263" s="61"/>
      <x:c r="F263" s="61"/>
      <x:c r="G263" s="61"/>
      <x:c r="H263" s="61"/>
      <x:c r="I263" s="61"/>
      <x:c r="J263" s="61"/>
      <x:c r="K263" s="61"/>
      <x:c r="L263" s="61"/>
      <x:c r="M263" s="61"/>
      <x:c r="N263" s="61"/>
      <x:c r="O263" s="61"/>
      <x:c r="P263" s="61"/>
      <x:c r="Q263" s="61"/>
    </x:row>
    <x:row r="264">
      <x:c r="A264" s="61"/>
      <x:c r="B264" s="61"/>
      <x:c r="C264" s="61"/>
      <x:c r="D264" s="61"/>
      <x:c r="E264" s="61"/>
      <x:c r="F264" s="61"/>
      <x:c r="G264" s="61"/>
      <x:c r="H264" s="61"/>
      <x:c r="I264" s="61"/>
      <x:c r="J264" s="61"/>
      <x:c r="K264" s="61"/>
      <x:c r="L264" s="61"/>
      <x:c r="M264" s="61"/>
      <x:c r="N264" s="61"/>
      <x:c r="O264" s="61"/>
      <x:c r="P264" s="61"/>
      <x:c r="Q264" s="61"/>
    </x:row>
    <x:row r="265">
      <x:c r="A265" s="61"/>
      <x:c r="B265" s="61"/>
      <x:c r="C265" s="61"/>
      <x:c r="D265" s="61"/>
      <x:c r="E265" s="61"/>
      <x:c r="F265" s="61"/>
      <x:c r="G265" s="61"/>
      <x:c r="H265" s="61"/>
      <x:c r="I265" s="61"/>
      <x:c r="J265" s="61"/>
      <x:c r="K265" s="61"/>
      <x:c r="L265" s="61"/>
      <x:c r="M265" s="61"/>
      <x:c r="N265" s="61"/>
      <x:c r="O265" s="61"/>
      <x:c r="P265" s="61"/>
      <x:c r="Q265" s="61"/>
    </x:row>
    <x:row r="266">
      <x:c r="A266" s="61"/>
      <x:c r="B266" s="61"/>
      <x:c r="C266" s="61"/>
      <x:c r="D266" s="61"/>
      <x:c r="E266" s="61"/>
      <x:c r="F266" s="61"/>
      <x:c r="G266" s="61"/>
      <x:c r="H266" s="61"/>
      <x:c r="I266" s="61"/>
      <x:c r="J266" s="61"/>
      <x:c r="K266" s="61"/>
      <x:c r="L266" s="61"/>
      <x:c r="M266" s="61"/>
      <x:c r="N266" s="61"/>
      <x:c r="O266" s="61"/>
      <x:c r="P266" s="61"/>
      <x:c r="Q266" s="61"/>
    </x:row>
    <x:row r="267">
      <x:c r="A267" s="61"/>
      <x:c r="B267" s="61"/>
      <x:c r="C267" s="61"/>
      <x:c r="D267" s="61"/>
      <x:c r="E267" s="61"/>
      <x:c r="F267" s="61"/>
      <x:c r="G267" s="61"/>
      <x:c r="H267" s="61"/>
      <x:c r="I267" s="61"/>
      <x:c r="J267" s="61"/>
      <x:c r="K267" s="61"/>
      <x:c r="L267" s="61"/>
      <x:c r="M267" s="61"/>
      <x:c r="N267" s="61"/>
      <x:c r="O267" s="61"/>
      <x:c r="P267" s="61"/>
      <x:c r="Q267" s="61"/>
    </x:row>
    <x:row r="268">
      <x:c r="A268" s="61"/>
      <x:c r="B268" s="61"/>
      <x:c r="C268" s="61"/>
      <x:c r="D268" s="61"/>
      <x:c r="E268" s="61"/>
      <x:c r="F268" s="61"/>
      <x:c r="G268" s="61"/>
      <x:c r="H268" s="61"/>
      <x:c r="I268" s="61"/>
      <x:c r="J268" s="61"/>
      <x:c r="K268" s="61"/>
      <x:c r="L268" s="61"/>
      <x:c r="M268" s="61"/>
      <x:c r="N268" s="61"/>
      <x:c r="O268" s="61"/>
      <x:c r="P268" s="61"/>
      <x:c r="Q268" s="61"/>
    </x:row>
    <x:row r="269">
      <x:c r="A269" s="61"/>
      <x:c r="B269" s="61"/>
      <x:c r="C269" s="61"/>
      <x:c r="D269" s="61"/>
      <x:c r="E269" s="61"/>
      <x:c r="F269" s="61"/>
      <x:c r="G269" s="61"/>
      <x:c r="H269" s="61"/>
      <x:c r="I269" s="61"/>
      <x:c r="J269" s="61"/>
      <x:c r="K269" s="61"/>
      <x:c r="L269" s="61"/>
      <x:c r="M269" s="61"/>
      <x:c r="N269" s="61"/>
      <x:c r="O269" s="61"/>
      <x:c r="P269" s="61"/>
      <x:c r="Q269" s="61"/>
    </x:row>
    <x:row r="270">
      <x:c r="A270" s="61"/>
      <x:c r="B270" s="61"/>
      <x:c r="C270" s="61"/>
      <x:c r="D270" s="61"/>
      <x:c r="E270" s="61"/>
      <x:c r="F270" s="61"/>
      <x:c r="G270" s="61"/>
      <x:c r="H270" s="61"/>
      <x:c r="I270" s="61"/>
      <x:c r="J270" s="61"/>
      <x:c r="K270" s="61"/>
      <x:c r="L270" s="61"/>
      <x:c r="M270" s="61"/>
      <x:c r="N270" s="61"/>
      <x:c r="O270" s="61"/>
      <x:c r="P270" s="61"/>
      <x:c r="Q270" s="61"/>
    </x:row>
    <x:row r="271">
      <x:c r="A271" s="61"/>
      <x:c r="B271" s="61"/>
      <x:c r="C271" s="61"/>
      <x:c r="D271" s="61"/>
      <x:c r="E271" s="61"/>
      <x:c r="F271" s="61"/>
      <x:c r="G271" s="61"/>
      <x:c r="H271" s="61"/>
      <x:c r="I271" s="61"/>
      <x:c r="J271" s="61"/>
      <x:c r="K271" s="61"/>
      <x:c r="L271" s="61"/>
      <x:c r="M271" s="61"/>
      <x:c r="N271" s="61"/>
      <x:c r="O271" s="61"/>
      <x:c r="P271" s="61"/>
      <x:c r="Q271" s="61"/>
    </x:row>
    <x:row r="272">
      <x:c r="A272" s="61"/>
      <x:c r="B272" s="61"/>
      <x:c r="C272" s="61"/>
      <x:c r="D272" s="61"/>
      <x:c r="E272" s="61"/>
      <x:c r="F272" s="61"/>
      <x:c r="G272" s="61"/>
      <x:c r="H272" s="61"/>
      <x:c r="I272" s="61"/>
      <x:c r="J272" s="61"/>
      <x:c r="K272" s="61"/>
      <x:c r="L272" s="61"/>
      <x:c r="M272" s="61"/>
      <x:c r="N272" s="61"/>
      <x:c r="O272" s="61"/>
      <x:c r="P272" s="61"/>
      <x:c r="Q272" s="61"/>
    </x:row>
    <x:row r="273">
      <x:c r="A273" s="61"/>
      <x:c r="B273" s="61"/>
      <x:c r="C273" s="61"/>
      <x:c r="D273" s="61"/>
      <x:c r="E273" s="61"/>
      <x:c r="F273" s="61"/>
      <x:c r="G273" s="61"/>
      <x:c r="H273" s="61"/>
      <x:c r="I273" s="61"/>
      <x:c r="J273" s="61"/>
      <x:c r="K273" s="61"/>
      <x:c r="L273" s="61"/>
      <x:c r="M273" s="61"/>
      <x:c r="N273" s="61"/>
      <x:c r="O273" s="61"/>
      <x:c r="P273" s="61"/>
      <x:c r="Q273" s="61"/>
    </x:row>
    <x:row r="274">
      <x:c r="A274" s="61"/>
      <x:c r="B274" s="61"/>
      <x:c r="C274" s="61"/>
      <x:c r="D274" s="61"/>
      <x:c r="E274" s="61"/>
      <x:c r="F274" s="61"/>
      <x:c r="G274" s="61"/>
      <x:c r="H274" s="61"/>
      <x:c r="I274" s="61"/>
      <x:c r="J274" s="61"/>
      <x:c r="K274" s="61"/>
      <x:c r="L274" s="61"/>
      <x:c r="M274" s="61"/>
      <x:c r="N274" s="61"/>
      <x:c r="O274" s="61"/>
      <x:c r="P274" s="61"/>
      <x:c r="Q274" s="61"/>
    </x:row>
    <x:row r="275">
      <x:c r="A275" s="61"/>
      <x:c r="B275" s="61"/>
      <x:c r="C275" s="61"/>
      <x:c r="D275" s="61"/>
      <x:c r="E275" s="61"/>
      <x:c r="F275" s="61"/>
      <x:c r="G275" s="61"/>
      <x:c r="H275" s="61"/>
      <x:c r="I275" s="61"/>
      <x:c r="J275" s="61"/>
      <x:c r="K275" s="61"/>
      <x:c r="L275" s="61"/>
      <x:c r="M275" s="61"/>
      <x:c r="N275" s="61"/>
      <x:c r="O275" s="61"/>
      <x:c r="P275" s="61"/>
      <x:c r="Q275" s="61"/>
    </x:row>
    <x:row r="276">
      <x:c r="A276" s="61"/>
      <x:c r="B276" s="61"/>
      <x:c r="C276" s="61"/>
      <x:c r="D276" s="61"/>
      <x:c r="E276" s="61"/>
      <x:c r="F276" s="61"/>
      <x:c r="G276" s="61"/>
      <x:c r="H276" s="61"/>
      <x:c r="I276" s="61"/>
      <x:c r="J276" s="61"/>
      <x:c r="K276" s="61"/>
      <x:c r="L276" s="61"/>
      <x:c r="M276" s="61"/>
      <x:c r="N276" s="61"/>
      <x:c r="O276" s="61"/>
      <x:c r="P276" s="61"/>
      <x:c r="Q276" s="61"/>
    </x:row>
    <x:row r="277">
      <x:c r="A277" s="61"/>
      <x:c r="B277" s="61"/>
      <x:c r="C277" s="61"/>
      <x:c r="D277" s="61"/>
      <x:c r="E277" s="61"/>
      <x:c r="F277" s="61"/>
      <x:c r="G277" s="61"/>
      <x:c r="H277" s="61"/>
      <x:c r="I277" s="61"/>
      <x:c r="J277" s="61"/>
      <x:c r="K277" s="61"/>
      <x:c r="L277" s="61"/>
      <x:c r="M277" s="61"/>
      <x:c r="N277" s="61"/>
      <x:c r="O277" s="61"/>
      <x:c r="P277" s="61"/>
      <x:c r="Q277" s="61"/>
    </x:row>
    <x:row r="278">
      <x:c r="A278" s="61"/>
      <x:c r="B278" s="61"/>
      <x:c r="C278" s="61"/>
      <x:c r="D278" s="61"/>
      <x:c r="E278" s="61"/>
      <x:c r="F278" s="61"/>
      <x:c r="G278" s="61"/>
      <x:c r="H278" s="61"/>
      <x:c r="I278" s="61"/>
      <x:c r="J278" s="61"/>
      <x:c r="K278" s="61"/>
      <x:c r="L278" s="61"/>
      <x:c r="M278" s="61"/>
      <x:c r="N278" s="61"/>
      <x:c r="O278" s="61"/>
      <x:c r="P278" s="61"/>
      <x:c r="Q278" s="61"/>
    </x:row>
    <x:row r="279">
      <x:c r="A279" s="61"/>
      <x:c r="B279" s="61"/>
      <x:c r="C279" s="61"/>
      <x:c r="D279" s="61"/>
      <x:c r="E279" s="61"/>
      <x:c r="F279" s="61"/>
      <x:c r="G279" s="61"/>
      <x:c r="H279" s="61"/>
      <x:c r="I279" s="61"/>
      <x:c r="J279" s="61"/>
      <x:c r="K279" s="61"/>
      <x:c r="L279" s="61"/>
      <x:c r="M279" s="61"/>
      <x:c r="N279" s="61"/>
      <x:c r="O279" s="61"/>
      <x:c r="P279" s="61"/>
      <x:c r="Q279" s="61"/>
    </x:row>
    <x:row r="280">
      <x:c r="A280" s="61"/>
      <x:c r="B280" s="61"/>
      <x:c r="C280" s="61"/>
      <x:c r="D280" s="61"/>
      <x:c r="E280" s="61"/>
      <x:c r="F280" s="61"/>
      <x:c r="G280" s="61"/>
      <x:c r="H280" s="61"/>
      <x:c r="I280" s="61"/>
      <x:c r="J280" s="61"/>
      <x:c r="K280" s="61"/>
      <x:c r="L280" s="61"/>
      <x:c r="M280" s="61"/>
      <x:c r="N280" s="61"/>
      <x:c r="O280" s="61"/>
      <x:c r="P280" s="61"/>
      <x:c r="Q280" s="61"/>
    </x:row>
    <x:row r="281">
      <x:c r="A281" s="61"/>
      <x:c r="B281" s="61"/>
      <x:c r="C281" s="61"/>
      <x:c r="D281" s="61"/>
      <x:c r="E281" s="61"/>
      <x:c r="F281" s="61"/>
      <x:c r="G281" s="61"/>
      <x:c r="H281" s="61"/>
      <x:c r="I281" s="61"/>
      <x:c r="J281" s="61"/>
      <x:c r="K281" s="61"/>
      <x:c r="L281" s="61"/>
      <x:c r="M281" s="61"/>
      <x:c r="N281" s="61"/>
      <x:c r="O281" s="61"/>
      <x:c r="P281" s="61"/>
      <x:c r="Q281" s="61"/>
    </x:row>
    <x:row r="282">
      <x:c r="A282" s="61"/>
      <x:c r="B282" s="61"/>
      <x:c r="C282" s="61"/>
      <x:c r="D282" s="61"/>
      <x:c r="E282" s="61"/>
      <x:c r="F282" s="61"/>
      <x:c r="G282" s="61"/>
      <x:c r="H282" s="61"/>
      <x:c r="I282" s="61"/>
      <x:c r="J282" s="61"/>
      <x:c r="K282" s="61"/>
      <x:c r="L282" s="61"/>
      <x:c r="M282" s="61"/>
      <x:c r="N282" s="61"/>
      <x:c r="O282" s="61"/>
      <x:c r="P282" s="61"/>
      <x:c r="Q282" s="61"/>
    </x:row>
    <x:row r="283">
      <x:c r="A283" s="61"/>
      <x:c r="B283" s="61"/>
      <x:c r="C283" s="61"/>
      <x:c r="D283" s="61"/>
      <x:c r="E283" s="61"/>
      <x:c r="F283" s="61"/>
      <x:c r="G283" s="61"/>
      <x:c r="H283" s="61"/>
      <x:c r="I283" s="61"/>
      <x:c r="J283" s="61"/>
      <x:c r="K283" s="61"/>
      <x:c r="L283" s="61"/>
      <x:c r="M283" s="61"/>
      <x:c r="N283" s="61"/>
      <x:c r="O283" s="61"/>
      <x:c r="P283" s="61"/>
      <x:c r="Q283" s="61"/>
    </x:row>
    <x:row r="284">
      <x:c r="A284" s="61"/>
      <x:c r="B284" s="61"/>
      <x:c r="C284" s="61"/>
      <x:c r="D284" s="61"/>
      <x:c r="E284" s="61"/>
      <x:c r="F284" s="61"/>
      <x:c r="G284" s="61"/>
      <x:c r="H284" s="61"/>
      <x:c r="I284" s="61"/>
      <x:c r="J284" s="61"/>
      <x:c r="K284" s="61"/>
      <x:c r="L284" s="61"/>
      <x:c r="M284" s="61"/>
      <x:c r="N284" s="61"/>
      <x:c r="O284" s="61"/>
      <x:c r="P284" s="61"/>
      <x:c r="Q284" s="61"/>
    </x:row>
    <x:row r="285">
      <x:c r="A285" s="61"/>
      <x:c r="B285" s="61"/>
      <x:c r="C285" s="61"/>
      <x:c r="D285" s="61"/>
      <x:c r="E285" s="61"/>
      <x:c r="F285" s="61"/>
      <x:c r="G285" s="61"/>
      <x:c r="H285" s="61"/>
      <x:c r="I285" s="61"/>
      <x:c r="J285" s="61"/>
      <x:c r="K285" s="61"/>
      <x:c r="L285" s="61"/>
      <x:c r="M285" s="61"/>
      <x:c r="N285" s="61"/>
      <x:c r="O285" s="61"/>
      <x:c r="P285" s="61"/>
      <x:c r="Q285" s="61"/>
    </x:row>
    <x:row r="286">
      <x:c r="A286" s="61"/>
      <x:c r="B286" s="61"/>
      <x:c r="C286" s="61"/>
      <x:c r="D286" s="61"/>
      <x:c r="E286" s="61"/>
      <x:c r="F286" s="61"/>
      <x:c r="G286" s="61"/>
      <x:c r="H286" s="61"/>
      <x:c r="I286" s="61"/>
      <x:c r="J286" s="61"/>
      <x:c r="K286" s="61"/>
      <x:c r="L286" s="61"/>
      <x:c r="M286" s="61"/>
      <x:c r="N286" s="61"/>
      <x:c r="O286" s="61"/>
      <x:c r="P286" s="61"/>
      <x:c r="Q286" s="61"/>
    </x:row>
    <x:row r="287">
      <x:c r="A287" s="61"/>
      <x:c r="B287" s="61"/>
      <x:c r="C287" s="61"/>
      <x:c r="D287" s="61"/>
      <x:c r="E287" s="61"/>
      <x:c r="F287" s="61"/>
      <x:c r="G287" s="61"/>
      <x:c r="H287" s="61"/>
      <x:c r="I287" s="61"/>
      <x:c r="J287" s="61"/>
      <x:c r="K287" s="61"/>
      <x:c r="L287" s="61"/>
      <x:c r="M287" s="61"/>
      <x:c r="N287" s="61"/>
      <x:c r="O287" s="61"/>
      <x:c r="P287" s="61"/>
      <x:c r="Q287" s="61"/>
    </x:row>
    <x:row r="288">
      <x:c r="A288" s="61"/>
      <x:c r="B288" s="61"/>
      <x:c r="C288" s="61"/>
      <x:c r="D288" s="61"/>
      <x:c r="E288" s="61"/>
      <x:c r="F288" s="61"/>
      <x:c r="G288" s="61"/>
      <x:c r="H288" s="61"/>
      <x:c r="I288" s="61"/>
      <x:c r="J288" s="61"/>
      <x:c r="K288" s="61"/>
      <x:c r="L288" s="61"/>
      <x:c r="M288" s="61"/>
      <x:c r="N288" s="61"/>
      <x:c r="O288" s="61"/>
      <x:c r="P288" s="61"/>
      <x:c r="Q288" s="61"/>
    </x:row>
    <x:row r="289">
      <x:c r="A289" s="61"/>
      <x:c r="B289" s="61"/>
      <x:c r="C289" s="61"/>
      <x:c r="D289" s="61"/>
      <x:c r="E289" s="61"/>
      <x:c r="F289" s="61"/>
      <x:c r="G289" s="61"/>
      <x:c r="H289" s="61"/>
      <x:c r="I289" s="61"/>
      <x:c r="J289" s="61"/>
      <x:c r="K289" s="61"/>
      <x:c r="L289" s="61"/>
      <x:c r="M289" s="61"/>
      <x:c r="N289" s="61"/>
      <x:c r="O289" s="61"/>
      <x:c r="P289" s="61"/>
      <x:c r="Q289" s="61"/>
    </x:row>
    <x:row r="290">
      <x:c r="A290" s="61"/>
      <x:c r="B290" s="61"/>
      <x:c r="C290" s="61"/>
      <x:c r="D290" s="61"/>
      <x:c r="E290" s="61"/>
      <x:c r="F290" s="61"/>
      <x:c r="G290" s="61"/>
      <x:c r="H290" s="61"/>
      <x:c r="I290" s="61"/>
      <x:c r="J290" s="61"/>
      <x:c r="K290" s="61"/>
      <x:c r="L290" s="61"/>
      <x:c r="M290" s="61"/>
      <x:c r="N290" s="61"/>
      <x:c r="O290" s="61"/>
      <x:c r="P290" s="61"/>
      <x:c r="Q290" s="61"/>
    </x:row>
    <x:row r="291">
      <x:c r="A291" s="61"/>
      <x:c r="B291" s="61"/>
      <x:c r="C291" s="61"/>
      <x:c r="D291" s="61"/>
      <x:c r="E291" s="61"/>
      <x:c r="F291" s="61"/>
      <x:c r="G291" s="61"/>
      <x:c r="H291" s="61"/>
      <x:c r="I291" s="61"/>
      <x:c r="J291" s="61"/>
      <x:c r="K291" s="61"/>
      <x:c r="L291" s="61"/>
      <x:c r="M291" s="61"/>
      <x:c r="N291" s="61"/>
      <x:c r="O291" s="61"/>
      <x:c r="P291" s="61"/>
      <x:c r="Q291" s="61"/>
    </x:row>
    <x:row r="292">
      <x:c r="A292" s="61"/>
      <x:c r="B292" s="61"/>
      <x:c r="C292" s="61"/>
      <x:c r="D292" s="61"/>
      <x:c r="E292" s="61"/>
      <x:c r="F292" s="61"/>
      <x:c r="G292" s="61"/>
      <x:c r="H292" s="61"/>
      <x:c r="I292" s="61"/>
      <x:c r="J292" s="61"/>
      <x:c r="K292" s="61"/>
      <x:c r="L292" s="61"/>
      <x:c r="M292" s="61"/>
      <x:c r="N292" s="61"/>
      <x:c r="O292" s="61"/>
      <x:c r="P292" s="61"/>
      <x:c r="Q292" s="61"/>
    </x:row>
    <x:row r="293">
      <x:c r="A293" s="61"/>
      <x:c r="B293" s="61"/>
      <x:c r="C293" s="61"/>
      <x:c r="D293" s="61"/>
      <x:c r="E293" s="61"/>
      <x:c r="F293" s="61"/>
      <x:c r="G293" s="61"/>
      <x:c r="H293" s="61"/>
      <x:c r="I293" s="61"/>
      <x:c r="J293" s="61"/>
      <x:c r="K293" s="61"/>
      <x:c r="L293" s="61"/>
      <x:c r="M293" s="61"/>
      <x:c r="N293" s="61"/>
      <x:c r="O293" s="61"/>
      <x:c r="P293" s="61"/>
      <x:c r="Q293" s="61"/>
    </x:row>
    <x:row r="294">
      <x:c r="A294" s="61"/>
      <x:c r="B294" s="61"/>
      <x:c r="C294" s="61"/>
      <x:c r="D294" s="61"/>
      <x:c r="E294" s="61"/>
      <x:c r="F294" s="61"/>
      <x:c r="G294" s="61"/>
      <x:c r="H294" s="61"/>
      <x:c r="I294" s="61"/>
      <x:c r="J294" s="61"/>
      <x:c r="K294" s="61"/>
      <x:c r="L294" s="61"/>
      <x:c r="M294" s="61"/>
      <x:c r="N294" s="61"/>
      <x:c r="O294" s="61"/>
      <x:c r="P294" s="61"/>
      <x:c r="Q294" s="61"/>
    </x:row>
    <x:row r="295">
      <x:c r="A295" s="61"/>
      <x:c r="B295" s="61"/>
      <x:c r="C295" s="61"/>
      <x:c r="D295" s="61"/>
      <x:c r="E295" s="61"/>
      <x:c r="F295" s="61"/>
      <x:c r="G295" s="61"/>
      <x:c r="H295" s="61"/>
      <x:c r="I295" s="61"/>
      <x:c r="J295" s="61"/>
      <x:c r="K295" s="61"/>
      <x:c r="L295" s="61"/>
      <x:c r="M295" s="61"/>
      <x:c r="N295" s="61"/>
      <x:c r="O295" s="61"/>
      <x:c r="P295" s="61"/>
      <x:c r="Q295" s="61"/>
    </x:row>
    <x:row r="296">
      <x:c r="A296" s="61"/>
      <x:c r="B296" s="61"/>
      <x:c r="C296" s="61"/>
      <x:c r="D296" s="61"/>
      <x:c r="E296" s="61"/>
      <x:c r="F296" s="61"/>
      <x:c r="G296" s="61"/>
      <x:c r="H296" s="61"/>
      <x:c r="I296" s="61"/>
      <x:c r="J296" s="61"/>
      <x:c r="K296" s="61"/>
      <x:c r="L296" s="61"/>
      <x:c r="M296" s="61"/>
      <x:c r="N296" s="61"/>
      <x:c r="O296" s="61"/>
      <x:c r="P296" s="61"/>
      <x:c r="Q296" s="61"/>
    </x:row>
    <x:row r="297">
      <x:c r="A297" s="61"/>
      <x:c r="B297" s="61"/>
      <x:c r="C297" s="61"/>
      <x:c r="D297" s="61"/>
      <x:c r="E297" s="61"/>
      <x:c r="F297" s="61"/>
      <x:c r="G297" s="61"/>
      <x:c r="H297" s="61"/>
      <x:c r="I297" s="61"/>
      <x:c r="J297" s="61"/>
      <x:c r="K297" s="61"/>
      <x:c r="L297" s="61"/>
      <x:c r="M297" s="61"/>
      <x:c r="N297" s="61"/>
      <x:c r="O297" s="61"/>
      <x:c r="P297" s="61"/>
      <x:c r="Q297" s="61"/>
    </x:row>
    <x:row r="298">
      <x:c r="A298" s="61"/>
      <x:c r="B298" s="61"/>
      <x:c r="C298" s="61"/>
      <x:c r="D298" s="61"/>
      <x:c r="E298" s="61"/>
      <x:c r="F298" s="61"/>
      <x:c r="G298" s="61"/>
      <x:c r="H298" s="61"/>
      <x:c r="I298" s="61"/>
      <x:c r="J298" s="61"/>
      <x:c r="K298" s="61"/>
      <x:c r="L298" s="61"/>
      <x:c r="M298" s="61"/>
      <x:c r="N298" s="61"/>
      <x:c r="O298" s="61"/>
      <x:c r="P298" s="61"/>
      <x:c r="Q298" s="61"/>
    </x:row>
    <x:row r="299">
      <x:c r="A299" s="61"/>
      <x:c r="B299" s="61"/>
      <x:c r="C299" s="61"/>
      <x:c r="D299" s="61"/>
      <x:c r="E299" s="61"/>
      <x:c r="F299" s="61"/>
      <x:c r="G299" s="61"/>
      <x:c r="H299" s="61"/>
      <x:c r="I299" s="61"/>
      <x:c r="J299" s="61"/>
      <x:c r="K299" s="61"/>
      <x:c r="L299" s="61"/>
      <x:c r="M299" s="61"/>
      <x:c r="N299" s="61"/>
      <x:c r="O299" s="61"/>
      <x:c r="P299" s="61"/>
      <x:c r="Q299" s="61"/>
    </x:row>
    <x:row r="300">
      <x:c r="A300" s="61"/>
      <x:c r="B300" s="61"/>
      <x:c r="C300" s="61"/>
      <x:c r="D300" s="61"/>
      <x:c r="E300" s="61"/>
      <x:c r="F300" s="61"/>
      <x:c r="G300" s="61"/>
      <x:c r="H300" s="61"/>
      <x:c r="I300" s="61"/>
      <x:c r="J300" s="61"/>
      <x:c r="K300" s="61"/>
      <x:c r="L300" s="61"/>
      <x:c r="M300" s="61"/>
      <x:c r="N300" s="61"/>
      <x:c r="O300" s="61"/>
      <x:c r="P300" s="61"/>
      <x:c r="Q300" s="61"/>
    </x:row>
  </x:sheetData>
  <x:conditionalFormatting sqref="E2:E7">
    <x:cfRule type="expression" dxfId="11" priority="1">
      <x:formula>E2="Concluído"</x:formula>
    </x:cfRule>
    <x:cfRule type="expression" dxfId="12" priority="2">
      <x:formula>E2="Em andamento"</x:formula>
    </x:cfRule>
  </x:conditionalFormatting>
  <x:dataValidations count="1">
    <x:dataValidation type="list" sqref="E2:E7">
      <x:formula1>"Não iniciado,Em andamento,Em validação,Bloqueado,Concluído"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42" hidden="0" customWidth="1"/>
    <x:col min="4" max="4" width="50" hidden="0" customWidth="1"/>
    <x:col min="5" max="5" width="16" hidden="0" customWidth="1"/>
    <x:col min="6" max="6" width="18" hidden="0" customWidth="1"/>
    <x:col min="7" max="7" width="40" hidden="0" customWidth="1"/>
  </x:cols>
  <x:sheetData>
    <x:row r="1">
      <x:c r="A1" s="60" t="str">
        <x:v>ID</x:v>
      </x:c>
      <x:c r="B1" s="60" t="str">
        <x:v>Área</x:v>
      </x:c>
      <x:c r="C1" s="60" t="str">
        <x:v>Ideia / melhoria</x:v>
      </x:c>
      <x:c r="D1" s="60" t="str">
        <x:v>Motivo de ficar pós-lançamento</x:v>
      </x:c>
      <x:c r="E1" s="60" t="str">
        <x:v>Prioridade futura</x:v>
      </x:c>
      <x:c r="F1" s="60" t="str">
        <x:v>Status</x:v>
      </x:c>
      <x:c r="G1" s="60" t="str">
        <x:v>Notas</x:v>
      </x:c>
      <x:c r="H1" s="61"/>
      <x:c r="I1" s="61"/>
      <x:c r="J1" s="61"/>
      <x:c r="K1" s="61"/>
      <x:c r="L1" s="61"/>
      <x:c r="M1" s="61"/>
      <x:c r="N1" s="61"/>
      <x:c r="O1" s="61"/>
      <x:c r="P1" s="61"/>
      <x:c r="Q1" s="61"/>
    </x:row>
    <x:row r="2">
      <x:c r="A2" s="61" t="str">
        <x:v>POS-001</x:v>
      </x:c>
      <x:c r="B2" s="61" t="str">
        <x:v>Assistente IA</x:v>
      </x:c>
      <x:c r="C2" s="64" t="str">
        <x:v>Assistente flutuante com Assistente IA + Suporte</x:v>
      </x:c>
      <x:c r="D2" s="64" t="str">
        <x:v>Não é requisito para vender/operar e aumenta escopo/risco</x:v>
      </x:c>
      <x:c r="E2" s="61" t="str">
        <x:v>P2</x:v>
      </x:c>
      <x:c r="F2" s="61" t="str">
        <x:v>Pós-lançamento</x:v>
      </x:c>
      <x:c r="G2" s="64" t="str">
        <x:v>Fase 1 somente leitura e multiempresa</x:v>
      </x:c>
      <x:c r="H2" s="61"/>
      <x:c r="I2" s="61"/>
      <x:c r="J2" s="61"/>
      <x:c r="K2" s="61"/>
      <x:c r="L2" s="61"/>
      <x:c r="M2" s="61"/>
      <x:c r="N2" s="61"/>
      <x:c r="O2" s="61"/>
      <x:c r="P2" s="61"/>
      <x:c r="Q2" s="61"/>
    </x:row>
    <x:row r="3">
      <x:c r="A3" s="61" t="str">
        <x:v>POS-002</x:v>
      </x:c>
      <x:c r="B3" s="61" t="str">
        <x:v>Permissões</x:v>
      </x:c>
      <x:c r="C3" s="64" t="str">
        <x:v>Matriz granular completa de permissões por módulo</x:v>
      </x:c>
      <x:c r="D3" s="64" t="str">
        <x:v>Estrutura atual de perfil atende o básico; granularidade pode consumir tempo</x:v>
      </x:c>
      <x:c r="E3" s="61" t="str">
        <x:v>P2</x:v>
      </x:c>
      <x:c r="F3" s="61" t="str">
        <x:v>Pós-lançamento</x:v>
      </x:c>
      <x:c r="G3" s="64" t="str">
        <x:v>Manter perfil atual sem quebrar acesso</x:v>
      </x:c>
      <x:c r="H3" s="61"/>
      <x:c r="I3" s="61"/>
      <x:c r="J3" s="61"/>
      <x:c r="K3" s="61"/>
      <x:c r="L3" s="61"/>
      <x:c r="M3" s="61"/>
      <x:c r="N3" s="61"/>
      <x:c r="O3" s="61"/>
      <x:c r="P3" s="61"/>
      <x:c r="Q3" s="61"/>
    </x:row>
    <x:row r="4">
      <x:c r="A4" s="61" t="str">
        <x:v>POS-003</x:v>
      </x:c>
      <x:c r="B4" s="61" t="str">
        <x:v>Contabilidade</x:v>
      </x:c>
      <x:c r="C4" s="64" t="str">
        <x:v>SPED EFD ICMS/IPI completo</x:v>
      </x:c>
      <x:c r="D4" s="64" t="str">
        <x:v>Projeto grande e regulatório; não deve competir com estabilização</x:v>
      </x:c>
      <x:c r="E4" s="61" t="str">
        <x:v>P2</x:v>
      </x:c>
      <x:c r="F4" s="61" t="str">
        <x:v>Pós-lançamento</x:v>
      </x:c>
      <x:c r="G4" s="64" t="str">
        <x:v>Continuar por fases após lançamento</x:v>
      </x:c>
      <x:c r="H4" s="61"/>
      <x:c r="I4" s="61"/>
      <x:c r="J4" s="61"/>
      <x:c r="K4" s="61"/>
      <x:c r="L4" s="61"/>
      <x:c r="M4" s="61"/>
      <x:c r="N4" s="61"/>
      <x:c r="O4" s="61"/>
      <x:c r="P4" s="61"/>
      <x:c r="Q4" s="61"/>
    </x:row>
    <x:row r="5">
      <x:c r="A5" s="61" t="str">
        <x:v>POS-004</x:v>
      </x:c>
      <x:c r="B5" s="61" t="str">
        <x:v>Relatórios</x:v>
      </x:c>
      <x:c r="C5" s="64" t="str">
        <x:v>Relatórios avançados e dashboards sofisticados</x:v>
      </x:c>
      <x:c r="D5" s="64" t="str">
        <x:v>Melhoria de produto, não bloqueia operação básica</x:v>
      </x:c>
      <x:c r="E5" s="61" t="str">
        <x:v>P2</x:v>
      </x:c>
      <x:c r="F5" s="61" t="str">
        <x:v>Pós-lançamento</x:v>
      </x:c>
      <x:c r="G5" s="64" t="str">
        <x:v>Priorizar relatórios solicitados por clientes</x:v>
      </x:c>
      <x:c r="H5" s="61"/>
      <x:c r="I5" s="61"/>
      <x:c r="J5" s="61"/>
      <x:c r="K5" s="61"/>
      <x:c r="L5" s="61"/>
      <x:c r="M5" s="61"/>
      <x:c r="N5" s="61"/>
      <x:c r="O5" s="61"/>
      <x:c r="P5" s="61"/>
      <x:c r="Q5" s="61"/>
    </x:row>
    <x:row r="6">
      <x:c r="A6" s="61" t="str">
        <x:v>POS-005</x:v>
      </x:c>
      <x:c r="B6" s="61" t="str">
        <x:v>PIX</x:v>
      </x:c>
      <x:c r="C6" s="64" t="str">
        <x:v>Novos provedores/bancos além dos validados</x:v>
      </x:c>
      <x:c r="D6" s="64" t="str">
        <x:v>Cada provedor exige contrato/mapeamento/testes próprios</x:v>
      </x:c>
      <x:c r="E6" s="61" t="str">
        <x:v>P2</x:v>
      </x:c>
      <x:c r="F6" s="61" t="str">
        <x:v>Pós-lançamento</x:v>
      </x:c>
      <x:c r="G6" s="64" t="str">
        <x:v>Só habilitar provedor 100% mapeado</x:v>
      </x:c>
      <x:c r="H6" s="61"/>
      <x:c r="I6" s="61"/>
      <x:c r="J6" s="61"/>
      <x:c r="K6" s="61"/>
      <x:c r="L6" s="61"/>
      <x:c r="M6" s="61"/>
      <x:c r="N6" s="61"/>
      <x:c r="O6" s="61"/>
      <x:c r="P6" s="61"/>
      <x:c r="Q6" s="61"/>
    </x:row>
    <x:row r="7">
      <x:c r="A7" s="61" t="str">
        <x:v>POS-006</x:v>
      </x:c>
      <x:c r="B7" s="61" t="str">
        <x:v>Visual</x:v>
      </x:c>
      <x:c r="C7" s="64" t="str">
        <x:v>Grandes reformulações de UI/tema</x:v>
      </x:c>
      <x:c r="D7" s="64" t="str">
        <x:v>Risco de regressão próximo ao lançamento</x:v>
      </x:c>
      <x:c r="E7" s="61" t="str">
        <x:v>P2</x:v>
      </x:c>
      <x:c r="F7" s="61" t="str">
        <x:v>Pós-lançamento</x:v>
      </x:c>
      <x:c r="G7" s="64" t="str">
        <x:v>Somente correções de UX P0/P1 agora</x:v>
      </x:c>
      <x:c r="H7" s="61"/>
      <x:c r="I7" s="61"/>
      <x:c r="J7" s="61"/>
      <x:c r="K7" s="61"/>
      <x:c r="L7" s="61"/>
      <x:c r="M7" s="61"/>
      <x:c r="N7" s="61"/>
      <x:c r="O7" s="61"/>
      <x:c r="P7" s="61"/>
      <x:c r="Q7" s="61"/>
    </x:row>
    <x:row r="8">
      <x:c r="A8" s="61" t="str">
        <x:v>POS-007</x:v>
      </x:c>
      <x:c r="B8" s="61" t="str">
        <x:v>Master SaaS</x:v>
      </x:c>
      <x:c r="C8" s="64" t="str">
        <x:v>Automação avançada de cobrança/assinatura</x:v>
      </x:c>
      <x:c r="D8" s="64" t="str">
        <x:v>Pode iniciar com processo operacional controlado</x:v>
      </x:c>
      <x:c r="E8" s="61" t="str">
        <x:v>P2</x:v>
      </x:c>
      <x:c r="F8" s="61" t="str">
        <x:v>Pós-lançamento</x:v>
      </x:c>
      <x:c r="G8" s="64" t="str">
        <x:v>Não usar empresas.ativo como controle de pagamento</x:v>
      </x:c>
      <x:c r="H8" s="61"/>
      <x:c r="I8" s="61"/>
      <x:c r="J8" s="61"/>
      <x:c r="K8" s="61"/>
      <x:c r="L8" s="61"/>
      <x:c r="M8" s="61"/>
      <x:c r="N8" s="61"/>
      <x:c r="O8" s="61"/>
      <x:c r="P8" s="61"/>
      <x:c r="Q8" s="61"/>
    </x:row>
    <x:row r="9">
      <x:c r="A9" s="61"/>
      <x:c r="B9" s="61"/>
      <x:c r="C9" s="61"/>
      <x:c r="D9" s="61"/>
      <x:c r="E9" s="61"/>
      <x:c r="F9" s="61"/>
      <x:c r="G9" s="61"/>
      <x:c r="H9" s="61"/>
      <x:c r="I9" s="61"/>
      <x:c r="J9" s="61"/>
      <x:c r="K9" s="61"/>
      <x:c r="L9" s="61"/>
      <x:c r="M9" s="61"/>
      <x:c r="N9" s="61"/>
      <x:c r="O9" s="61"/>
      <x:c r="P9" s="61"/>
      <x:c r="Q9" s="61"/>
    </x:row>
    <x:row r="10">
      <x:c r="A10" s="61"/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61"/>
      <x:c r="N10" s="61"/>
      <x:c r="O10" s="61"/>
      <x:c r="P10" s="61"/>
      <x:c r="Q10" s="61"/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  <x:c r="M11" s="61"/>
      <x:c r="N11" s="61"/>
      <x:c r="O11" s="61"/>
      <x:c r="P11" s="61"/>
      <x:c r="Q11" s="61"/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61"/>
      <x:c r="M12" s="61"/>
      <x:c r="N12" s="61"/>
      <x:c r="O12" s="61"/>
      <x:c r="P12" s="61"/>
      <x:c r="Q12" s="61"/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1"/>
      <x:c r="N13" s="61"/>
      <x:c r="O13" s="61"/>
      <x:c r="P13" s="61"/>
      <x:c r="Q13" s="61"/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1"/>
      <x:c r="N14" s="61"/>
      <x:c r="O14" s="61"/>
      <x:c r="P14" s="61"/>
      <x:c r="Q14" s="61"/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1"/>
      <x:c r="N15" s="61"/>
      <x:c r="O15" s="61"/>
      <x:c r="P15" s="61"/>
      <x:c r="Q15" s="61"/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1"/>
      <x:c r="N16" s="61"/>
      <x:c r="O16" s="61"/>
      <x:c r="P16" s="61"/>
      <x:c r="Q16" s="61"/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1"/>
      <x:c r="N17" s="61"/>
      <x:c r="O17" s="61"/>
      <x:c r="P17" s="61"/>
      <x:c r="Q17" s="61"/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1"/>
      <x:c r="P18" s="61"/>
      <x:c r="Q18" s="61"/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1"/>
      <x:c r="N19" s="61"/>
      <x:c r="O19" s="61"/>
      <x:c r="P19" s="61"/>
      <x:c r="Q19" s="61"/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1"/>
      <x:c r="P20" s="61"/>
      <x:c r="Q20" s="61"/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1"/>
      <x:c r="P21" s="61"/>
      <x:c r="Q21" s="61"/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1"/>
      <x:c r="P22" s="61"/>
      <x:c r="Q22" s="61"/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1"/>
      <x:c r="P23" s="61"/>
      <x:c r="Q23" s="61"/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  <x:c r="P24" s="61"/>
      <x:c r="Q24" s="61"/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1"/>
      <x:c r="P25" s="61"/>
      <x:c r="Q25" s="61"/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1"/>
      <x:c r="M26" s="61"/>
      <x:c r="N26" s="61"/>
      <x:c r="O26" s="61"/>
      <x:c r="P26" s="61"/>
      <x:c r="Q26" s="61"/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1"/>
      <x:c r="M27" s="61"/>
      <x:c r="N27" s="61"/>
      <x:c r="O27" s="61"/>
      <x:c r="P27" s="61"/>
      <x:c r="Q27" s="61"/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61"/>
      <x:c r="M28" s="61"/>
      <x:c r="N28" s="61"/>
      <x:c r="O28" s="61"/>
      <x:c r="P28" s="61"/>
      <x:c r="Q28" s="61"/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1"/>
      <x:c r="M29" s="61"/>
      <x:c r="N29" s="61"/>
      <x:c r="O29" s="61"/>
      <x:c r="P29" s="61"/>
      <x:c r="Q29" s="61"/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1"/>
      <x:c r="M30" s="61"/>
      <x:c r="N30" s="61"/>
      <x:c r="O30" s="61"/>
      <x:c r="P30" s="61"/>
      <x:c r="Q30" s="61"/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1"/>
      <x:c r="M31" s="61"/>
      <x:c r="N31" s="61"/>
      <x:c r="O31" s="61"/>
      <x:c r="P31" s="61"/>
      <x:c r="Q31" s="61"/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1"/>
      <x:c r="N32" s="61"/>
      <x:c r="O32" s="61"/>
      <x:c r="P32" s="61"/>
      <x:c r="Q32" s="61"/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1"/>
      <x:c r="N33" s="61"/>
      <x:c r="O33" s="61"/>
      <x:c r="P33" s="61"/>
      <x:c r="Q33" s="61"/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1"/>
      <x:c r="M34" s="61"/>
      <x:c r="N34" s="61"/>
      <x:c r="O34" s="61"/>
      <x:c r="P34" s="61"/>
      <x:c r="Q34" s="61"/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1"/>
      <x:c r="M35" s="61"/>
      <x:c r="N35" s="61"/>
      <x:c r="O35" s="61"/>
      <x:c r="P35" s="61"/>
      <x:c r="Q35" s="61"/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1"/>
      <x:c r="M36" s="61"/>
      <x:c r="N36" s="61"/>
      <x:c r="O36" s="61"/>
      <x:c r="P36" s="61"/>
      <x:c r="Q36" s="61"/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1"/>
      <x:c r="M37" s="61"/>
      <x:c r="N37" s="61"/>
      <x:c r="O37" s="61"/>
      <x:c r="P37" s="61"/>
      <x:c r="Q37" s="61"/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1"/>
      <x:c r="M38" s="61"/>
      <x:c r="N38" s="61"/>
      <x:c r="O38" s="61"/>
      <x:c r="P38" s="61"/>
      <x:c r="Q38" s="61"/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1"/>
      <x:c r="M39" s="61"/>
      <x:c r="N39" s="61"/>
      <x:c r="O39" s="61"/>
      <x:c r="P39" s="61"/>
      <x:c r="Q39" s="61"/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1"/>
      <x:c r="N41" s="61"/>
      <x:c r="O41" s="61"/>
      <x:c r="P41" s="61"/>
      <x:c r="Q41" s="61"/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1"/>
      <x:c r="N42" s="61"/>
      <x:c r="O42" s="61"/>
      <x:c r="P42" s="61"/>
      <x:c r="Q42" s="61"/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1"/>
      <x:c r="O43" s="61"/>
      <x:c r="P43" s="61"/>
      <x:c r="Q43" s="61"/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1"/>
      <x:c r="O44" s="61"/>
      <x:c r="P44" s="61"/>
      <x:c r="Q44" s="61"/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1"/>
      <x:c r="N45" s="61"/>
      <x:c r="O45" s="61"/>
      <x:c r="P45" s="61"/>
      <x:c r="Q45" s="61"/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1"/>
      <x:c r="N46" s="61"/>
      <x:c r="O46" s="61"/>
      <x:c r="P46" s="61"/>
      <x:c r="Q46" s="61"/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1"/>
      <x:c r="N47" s="61"/>
      <x:c r="O47" s="61"/>
      <x:c r="P47" s="61"/>
      <x:c r="Q47" s="61"/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1"/>
      <x:c r="N48" s="61"/>
      <x:c r="O48" s="61"/>
      <x:c r="P48" s="61"/>
      <x:c r="Q48" s="61"/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1"/>
      <x:c r="N49" s="61"/>
      <x:c r="O49" s="61"/>
      <x:c r="P49" s="61"/>
      <x:c r="Q49" s="61"/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1"/>
      <x:c r="N50" s="61"/>
      <x:c r="O50" s="61"/>
      <x:c r="P50" s="61"/>
      <x:c r="Q50" s="61"/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1"/>
      <x:c r="O51" s="61"/>
      <x:c r="P51" s="61"/>
      <x:c r="Q51" s="61"/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1"/>
      <x:c r="N52" s="61"/>
      <x:c r="O52" s="61"/>
      <x:c r="P52" s="61"/>
      <x:c r="Q52" s="61"/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1"/>
      <x:c r="N53" s="61"/>
      <x:c r="O53" s="61"/>
      <x:c r="P53" s="61"/>
      <x:c r="Q53" s="61"/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1"/>
      <x:c r="N54" s="61"/>
      <x:c r="O54" s="61"/>
      <x:c r="P54" s="61"/>
      <x:c r="Q54" s="61"/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1"/>
      <x:c r="N55" s="61"/>
      <x:c r="O55" s="61"/>
      <x:c r="P55" s="61"/>
      <x:c r="Q55" s="61"/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1"/>
      <x:c r="N56" s="61"/>
      <x:c r="O56" s="61"/>
      <x:c r="P56" s="61"/>
      <x:c r="Q56" s="61"/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1"/>
      <x:c r="N57" s="61"/>
      <x:c r="O57" s="61"/>
      <x:c r="P57" s="61"/>
      <x:c r="Q57" s="61"/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1"/>
      <x:c r="N58" s="61"/>
      <x:c r="O58" s="61"/>
      <x:c r="P58" s="61"/>
      <x:c r="Q58" s="61"/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1"/>
      <x:c r="N59" s="61"/>
      <x:c r="O59" s="61"/>
      <x:c r="P59" s="61"/>
      <x:c r="Q59" s="61"/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1"/>
      <x:c r="N60" s="61"/>
      <x:c r="O60" s="61"/>
      <x:c r="P60" s="61"/>
      <x:c r="Q60" s="61"/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1"/>
      <x:c r="N61" s="61"/>
      <x:c r="O61" s="61"/>
      <x:c r="P61" s="61"/>
      <x:c r="Q61" s="61"/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1"/>
      <x:c r="N62" s="61"/>
      <x:c r="O62" s="61"/>
      <x:c r="P62" s="61"/>
      <x:c r="Q62" s="61"/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1"/>
      <x:c r="N63" s="61"/>
      <x:c r="O63" s="61"/>
      <x:c r="P63" s="61"/>
      <x:c r="Q63" s="61"/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1"/>
      <x:c r="N64" s="61"/>
      <x:c r="O64" s="61"/>
      <x:c r="P64" s="61"/>
      <x:c r="Q64" s="61"/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1"/>
      <x:c r="N65" s="61"/>
      <x:c r="O65" s="61"/>
      <x:c r="P65" s="61"/>
      <x:c r="Q65" s="61"/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1"/>
      <x:c r="N66" s="61"/>
      <x:c r="O66" s="61"/>
      <x:c r="P66" s="61"/>
      <x:c r="Q66" s="61"/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1"/>
      <x:c r="N67" s="61"/>
      <x:c r="O67" s="61"/>
      <x:c r="P67" s="61"/>
      <x:c r="Q67" s="61"/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1"/>
      <x:c r="N68" s="61"/>
      <x:c r="O68" s="61"/>
      <x:c r="P68" s="61"/>
      <x:c r="Q68" s="61"/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1"/>
      <x:c r="N69" s="61"/>
      <x:c r="O69" s="61"/>
      <x:c r="P69" s="61"/>
      <x:c r="Q69" s="61"/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1"/>
      <x:c r="N70" s="61"/>
      <x:c r="O70" s="61"/>
      <x:c r="P70" s="61"/>
      <x:c r="Q70" s="61"/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1"/>
      <x:c r="N71" s="61"/>
      <x:c r="O71" s="61"/>
      <x:c r="P71" s="61"/>
      <x:c r="Q71" s="61"/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1"/>
      <x:c r="N72" s="61"/>
      <x:c r="O72" s="61"/>
      <x:c r="P72" s="61"/>
      <x:c r="Q72" s="61"/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1"/>
      <x:c r="N73" s="61"/>
      <x:c r="O73" s="61"/>
      <x:c r="P73" s="61"/>
      <x:c r="Q73" s="61"/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1"/>
      <x:c r="N74" s="61"/>
      <x:c r="O74" s="61"/>
      <x:c r="P74" s="61"/>
      <x:c r="Q74" s="61"/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1"/>
      <x:c r="N75" s="61"/>
      <x:c r="O75" s="61"/>
      <x:c r="P75" s="61"/>
      <x:c r="Q75" s="61"/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1"/>
      <x:c r="N76" s="61"/>
      <x:c r="O76" s="61"/>
      <x:c r="P76" s="61"/>
      <x:c r="Q76" s="61"/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1"/>
      <x:c r="N77" s="61"/>
      <x:c r="O77" s="61"/>
      <x:c r="P77" s="61"/>
      <x:c r="Q77" s="61"/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1"/>
      <x:c r="N78" s="61"/>
      <x:c r="O78" s="61"/>
      <x:c r="P78" s="61"/>
      <x:c r="Q78" s="61"/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1"/>
      <x:c r="N79" s="61"/>
      <x:c r="O79" s="61"/>
      <x:c r="P79" s="61"/>
      <x:c r="Q79" s="61"/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1"/>
      <x:c r="N80" s="61"/>
      <x:c r="O80" s="61"/>
      <x:c r="P80" s="61"/>
      <x:c r="Q80" s="61"/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1"/>
      <x:c r="N81" s="61"/>
      <x:c r="O81" s="61"/>
      <x:c r="P81" s="61"/>
      <x:c r="Q81" s="61"/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/>
      <x:c r="P82" s="61"/>
      <x:c r="Q82" s="61"/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1"/>
      <x:c r="N83" s="61"/>
      <x:c r="O83" s="61"/>
      <x:c r="P83" s="61"/>
      <x:c r="Q83" s="61"/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1"/>
      <x:c r="N84" s="61"/>
      <x:c r="O84" s="61"/>
      <x:c r="P84" s="61"/>
      <x:c r="Q84" s="61"/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1"/>
      <x:c r="N85" s="61"/>
      <x:c r="O85" s="61"/>
      <x:c r="P85" s="61"/>
      <x:c r="Q85" s="61"/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1"/>
      <x:c r="N86" s="61"/>
      <x:c r="O86" s="61"/>
      <x:c r="P86" s="61"/>
      <x:c r="Q86" s="61"/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1"/>
      <x:c r="N87" s="61"/>
      <x:c r="O87" s="61"/>
      <x:c r="P87" s="61"/>
      <x:c r="Q87" s="61"/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1"/>
      <x:c r="N88" s="61"/>
      <x:c r="O88" s="61"/>
      <x:c r="P88" s="61"/>
      <x:c r="Q88" s="61"/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1"/>
      <x:c r="N89" s="61"/>
      <x:c r="O89" s="61"/>
      <x:c r="P89" s="61"/>
      <x:c r="Q89" s="61"/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1"/>
      <x:c r="N90" s="61"/>
      <x:c r="O90" s="61"/>
      <x:c r="P90" s="61"/>
      <x:c r="Q90" s="61"/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1"/>
      <x:c r="N91" s="61"/>
      <x:c r="O91" s="61"/>
      <x:c r="P91" s="61"/>
      <x:c r="Q91" s="61"/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1"/>
      <x:c r="N92" s="61"/>
      <x:c r="O92" s="61"/>
      <x:c r="P92" s="61"/>
      <x:c r="Q92" s="61"/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1"/>
      <x:c r="N93" s="61"/>
      <x:c r="O93" s="61"/>
      <x:c r="P93" s="61"/>
      <x:c r="Q93" s="61"/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1"/>
      <x:c r="N94" s="61"/>
      <x:c r="O94" s="61"/>
      <x:c r="P94" s="61"/>
      <x:c r="Q94" s="61"/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1"/>
      <x:c r="N95" s="61"/>
      <x:c r="O95" s="61"/>
      <x:c r="P95" s="61"/>
      <x:c r="Q95" s="61"/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1"/>
      <x:c r="N96" s="61"/>
      <x:c r="O96" s="61"/>
      <x:c r="P96" s="61"/>
      <x:c r="Q96" s="61"/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1"/>
      <x:c r="N97" s="61"/>
      <x:c r="O97" s="61"/>
      <x:c r="P97" s="61"/>
      <x:c r="Q97" s="61"/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1"/>
      <x:c r="N98" s="61"/>
      <x:c r="O98" s="61"/>
      <x:c r="P98" s="61"/>
      <x:c r="Q98" s="61"/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1"/>
      <x:c r="N99" s="61"/>
      <x:c r="O99" s="61"/>
      <x:c r="P99" s="61"/>
      <x:c r="Q99" s="61"/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1"/>
      <x:c r="N100" s="61"/>
      <x:c r="O100" s="61"/>
      <x:c r="P100" s="61"/>
      <x:c r="Q100" s="61"/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1"/>
      <x:c r="N101" s="61"/>
      <x:c r="O101" s="61"/>
      <x:c r="P101" s="61"/>
      <x:c r="Q101" s="61"/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1"/>
      <x:c r="N102" s="61"/>
      <x:c r="O102" s="61"/>
      <x:c r="P102" s="61"/>
      <x:c r="Q102" s="61"/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1"/>
      <x:c r="N103" s="61"/>
      <x:c r="O103" s="61"/>
      <x:c r="P103" s="61"/>
      <x:c r="Q103" s="61"/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1"/>
      <x:c r="N104" s="61"/>
      <x:c r="O104" s="61"/>
      <x:c r="P104" s="61"/>
      <x:c r="Q104" s="61"/>
    </x:row>
    <x:row r="105">
      <x:c r="A105" s="61"/>
      <x:c r="B105" s="61"/>
      <x:c r="C105" s="61"/>
      <x:c r="D105" s="61"/>
      <x:c r="E105" s="61"/>
      <x:c r="F105" s="61"/>
      <x:c r="G105" s="61"/>
      <x:c r="H105" s="61"/>
      <x:c r="I105" s="61"/>
      <x:c r="J105" s="61"/>
      <x:c r="K105" s="61"/>
      <x:c r="L105" s="61"/>
      <x:c r="M105" s="61"/>
      <x:c r="N105" s="61"/>
      <x:c r="O105" s="61"/>
      <x:c r="P105" s="61"/>
      <x:c r="Q105" s="61"/>
    </x:row>
    <x:row r="106">
      <x:c r="A106" s="61"/>
      <x:c r="B106" s="61"/>
      <x:c r="C106" s="61"/>
      <x:c r="D106" s="61"/>
      <x:c r="E106" s="61"/>
      <x:c r="F106" s="61"/>
      <x:c r="G106" s="61"/>
      <x:c r="H106" s="61"/>
      <x:c r="I106" s="61"/>
      <x:c r="J106" s="61"/>
      <x:c r="K106" s="61"/>
      <x:c r="L106" s="61"/>
      <x:c r="M106" s="61"/>
      <x:c r="N106" s="61"/>
      <x:c r="O106" s="61"/>
      <x:c r="P106" s="61"/>
      <x:c r="Q106" s="61"/>
    </x:row>
    <x:row r="107">
      <x:c r="A107" s="61"/>
      <x:c r="B107" s="61"/>
      <x:c r="C107" s="61"/>
      <x:c r="D107" s="61"/>
      <x:c r="E107" s="61"/>
      <x:c r="F107" s="61"/>
      <x:c r="G107" s="61"/>
      <x:c r="H107" s="61"/>
      <x:c r="I107" s="61"/>
      <x:c r="J107" s="61"/>
      <x:c r="K107" s="61"/>
      <x:c r="L107" s="61"/>
      <x:c r="M107" s="61"/>
      <x:c r="N107" s="61"/>
      <x:c r="O107" s="61"/>
      <x:c r="P107" s="61"/>
      <x:c r="Q107" s="61"/>
    </x:row>
    <x:row r="108">
      <x:c r="A108" s="61"/>
      <x:c r="B108" s="61"/>
      <x:c r="C108" s="61"/>
      <x:c r="D108" s="61"/>
      <x:c r="E108" s="61"/>
      <x:c r="F108" s="61"/>
      <x:c r="G108" s="61"/>
      <x:c r="H108" s="61"/>
      <x:c r="I108" s="61"/>
      <x:c r="J108" s="61"/>
      <x:c r="K108" s="61"/>
      <x:c r="L108" s="61"/>
      <x:c r="M108" s="61"/>
      <x:c r="N108" s="61"/>
      <x:c r="O108" s="61"/>
      <x:c r="P108" s="61"/>
      <x:c r="Q108" s="61"/>
    </x:row>
    <x:row r="109">
      <x:c r="A109" s="61"/>
      <x:c r="B109" s="61"/>
      <x:c r="C109" s="61"/>
      <x:c r="D109" s="61"/>
      <x:c r="E109" s="61"/>
      <x:c r="F109" s="61"/>
      <x:c r="G109" s="61"/>
      <x:c r="H109" s="61"/>
      <x:c r="I109" s="61"/>
      <x:c r="J109" s="61"/>
      <x:c r="K109" s="61"/>
      <x:c r="L109" s="61"/>
      <x:c r="M109" s="61"/>
      <x:c r="N109" s="61"/>
      <x:c r="O109" s="61"/>
      <x:c r="P109" s="61"/>
      <x:c r="Q109" s="61"/>
    </x:row>
    <x:row r="110">
      <x:c r="A110" s="61"/>
      <x:c r="B110" s="61"/>
      <x:c r="C110" s="61"/>
      <x:c r="D110" s="61"/>
      <x:c r="E110" s="61"/>
      <x:c r="F110" s="61"/>
      <x:c r="G110" s="61"/>
      <x:c r="H110" s="61"/>
      <x:c r="I110" s="61"/>
      <x:c r="J110" s="61"/>
      <x:c r="K110" s="61"/>
      <x:c r="L110" s="61"/>
      <x:c r="M110" s="61"/>
      <x:c r="N110" s="61"/>
      <x:c r="O110" s="61"/>
      <x:c r="P110" s="61"/>
      <x:c r="Q110" s="61"/>
    </x:row>
    <x:row r="111">
      <x:c r="A111" s="61"/>
      <x:c r="B111" s="61"/>
      <x:c r="C111" s="61"/>
      <x:c r="D111" s="61"/>
      <x:c r="E111" s="61"/>
      <x:c r="F111" s="61"/>
      <x:c r="G111" s="61"/>
      <x:c r="H111" s="61"/>
      <x:c r="I111" s="61"/>
      <x:c r="J111" s="61"/>
      <x:c r="K111" s="61"/>
      <x:c r="L111" s="61"/>
      <x:c r="M111" s="61"/>
      <x:c r="N111" s="61"/>
      <x:c r="O111" s="61"/>
      <x:c r="P111" s="61"/>
      <x:c r="Q111" s="61"/>
    </x:row>
    <x:row r="112">
      <x:c r="A112" s="61"/>
      <x:c r="B112" s="61"/>
      <x:c r="C112" s="61"/>
      <x:c r="D112" s="61"/>
      <x:c r="E112" s="61"/>
      <x:c r="F112" s="61"/>
      <x:c r="G112" s="61"/>
      <x:c r="H112" s="61"/>
      <x:c r="I112" s="61"/>
      <x:c r="J112" s="61"/>
      <x:c r="K112" s="61"/>
      <x:c r="L112" s="61"/>
      <x:c r="M112" s="61"/>
      <x:c r="N112" s="61"/>
      <x:c r="O112" s="61"/>
      <x:c r="P112" s="61"/>
      <x:c r="Q112" s="61"/>
    </x:row>
    <x:row r="113">
      <x:c r="A113" s="61"/>
      <x:c r="B113" s="61"/>
      <x:c r="C113" s="61"/>
      <x:c r="D113" s="61"/>
      <x:c r="E113" s="61"/>
      <x:c r="F113" s="61"/>
      <x:c r="G113" s="61"/>
      <x:c r="H113" s="61"/>
      <x:c r="I113" s="61"/>
      <x:c r="J113" s="61"/>
      <x:c r="K113" s="61"/>
      <x:c r="L113" s="61"/>
      <x:c r="M113" s="61"/>
      <x:c r="N113" s="61"/>
      <x:c r="O113" s="61"/>
      <x:c r="P113" s="61"/>
      <x:c r="Q113" s="61"/>
    </x:row>
    <x:row r="114">
      <x:c r="A114" s="61"/>
      <x:c r="B114" s="61"/>
      <x:c r="C114" s="61"/>
      <x:c r="D114" s="61"/>
      <x:c r="E114" s="61"/>
      <x:c r="F114" s="61"/>
      <x:c r="G114" s="61"/>
      <x:c r="H114" s="61"/>
      <x:c r="I114" s="61"/>
      <x:c r="J114" s="61"/>
      <x:c r="K114" s="61"/>
      <x:c r="L114" s="61"/>
      <x:c r="M114" s="61"/>
      <x:c r="N114" s="61"/>
      <x:c r="O114" s="61"/>
      <x:c r="P114" s="61"/>
      <x:c r="Q114" s="61"/>
    </x:row>
    <x:row r="115">
      <x:c r="A115" s="61"/>
      <x:c r="B115" s="61"/>
      <x:c r="C115" s="61"/>
      <x:c r="D115" s="61"/>
      <x:c r="E115" s="61"/>
      <x:c r="F115" s="61"/>
      <x:c r="G115" s="61"/>
      <x:c r="H115" s="61"/>
      <x:c r="I115" s="61"/>
      <x:c r="J115" s="61"/>
      <x:c r="K115" s="61"/>
      <x:c r="L115" s="61"/>
      <x:c r="M115" s="61"/>
      <x:c r="N115" s="61"/>
      <x:c r="O115" s="61"/>
      <x:c r="P115" s="61"/>
      <x:c r="Q115" s="61"/>
    </x:row>
    <x:row r="116">
      <x:c r="A116" s="61"/>
      <x:c r="B116" s="61"/>
      <x:c r="C116" s="61"/>
      <x:c r="D116" s="61"/>
      <x:c r="E116" s="61"/>
      <x:c r="F116" s="61"/>
      <x:c r="G116" s="61"/>
      <x:c r="H116" s="61"/>
      <x:c r="I116" s="61"/>
      <x:c r="J116" s="61"/>
      <x:c r="K116" s="61"/>
      <x:c r="L116" s="61"/>
      <x:c r="M116" s="61"/>
      <x:c r="N116" s="61"/>
      <x:c r="O116" s="61"/>
      <x:c r="P116" s="61"/>
      <x:c r="Q116" s="61"/>
    </x:row>
    <x:row r="117">
      <x:c r="A117" s="61"/>
      <x:c r="B117" s="61"/>
      <x:c r="C117" s="61"/>
      <x:c r="D117" s="61"/>
      <x:c r="E117" s="61"/>
      <x:c r="F117" s="61"/>
      <x:c r="G117" s="61"/>
      <x:c r="H117" s="61"/>
      <x:c r="I117" s="61"/>
      <x:c r="J117" s="61"/>
      <x:c r="K117" s="61"/>
      <x:c r="L117" s="61"/>
      <x:c r="M117" s="61"/>
      <x:c r="N117" s="61"/>
      <x:c r="O117" s="61"/>
      <x:c r="P117" s="61"/>
      <x:c r="Q117" s="61"/>
    </x:row>
    <x:row r="118">
      <x:c r="A118" s="61"/>
      <x:c r="B118" s="61"/>
      <x:c r="C118" s="61"/>
      <x:c r="D118" s="61"/>
      <x:c r="E118" s="61"/>
      <x:c r="F118" s="61"/>
      <x:c r="G118" s="61"/>
      <x:c r="H118" s="61"/>
      <x:c r="I118" s="61"/>
      <x:c r="J118" s="61"/>
      <x:c r="K118" s="61"/>
      <x:c r="L118" s="61"/>
      <x:c r="M118" s="61"/>
      <x:c r="N118" s="61"/>
      <x:c r="O118" s="61"/>
      <x:c r="P118" s="61"/>
      <x:c r="Q118" s="61"/>
    </x:row>
    <x:row r="119">
      <x:c r="A119" s="61"/>
      <x:c r="B119" s="61"/>
      <x:c r="C119" s="61"/>
      <x:c r="D119" s="61"/>
      <x:c r="E119" s="61"/>
      <x:c r="F119" s="61"/>
      <x:c r="G119" s="61"/>
      <x:c r="H119" s="61"/>
      <x:c r="I119" s="61"/>
      <x:c r="J119" s="61"/>
      <x:c r="K119" s="61"/>
      <x:c r="L119" s="61"/>
      <x:c r="M119" s="61"/>
      <x:c r="N119" s="61"/>
      <x:c r="O119" s="61"/>
      <x:c r="P119" s="61"/>
      <x:c r="Q119" s="61"/>
    </x:row>
    <x:row r="120">
      <x:c r="A120" s="61"/>
      <x:c r="B120" s="61"/>
      <x:c r="C120" s="61"/>
      <x:c r="D120" s="61"/>
      <x:c r="E120" s="61"/>
      <x:c r="F120" s="61"/>
      <x:c r="G120" s="61"/>
      <x:c r="H120" s="61"/>
      <x:c r="I120" s="61"/>
      <x:c r="J120" s="61"/>
      <x:c r="K120" s="61"/>
      <x:c r="L120" s="61"/>
      <x:c r="M120" s="61"/>
      <x:c r="N120" s="61"/>
      <x:c r="O120" s="61"/>
      <x:c r="P120" s="61"/>
      <x:c r="Q120" s="61"/>
    </x:row>
    <x:row r="121">
      <x:c r="A121" s="61"/>
      <x:c r="B121" s="61"/>
      <x:c r="C121" s="61"/>
      <x:c r="D121" s="61"/>
      <x:c r="E121" s="61"/>
      <x:c r="F121" s="61"/>
      <x:c r="G121" s="61"/>
      <x:c r="H121" s="61"/>
      <x:c r="I121" s="61"/>
      <x:c r="J121" s="61"/>
      <x:c r="K121" s="61"/>
      <x:c r="L121" s="61"/>
      <x:c r="M121" s="61"/>
      <x:c r="N121" s="61"/>
      <x:c r="O121" s="61"/>
      <x:c r="P121" s="61"/>
      <x:c r="Q121" s="61"/>
    </x:row>
    <x:row r="122">
      <x:c r="A122" s="61"/>
      <x:c r="B122" s="61"/>
      <x:c r="C122" s="61"/>
      <x:c r="D122" s="61"/>
      <x:c r="E122" s="61"/>
      <x:c r="F122" s="61"/>
      <x:c r="G122" s="61"/>
      <x:c r="H122" s="61"/>
      <x:c r="I122" s="61"/>
      <x:c r="J122" s="61"/>
      <x:c r="K122" s="61"/>
      <x:c r="L122" s="61"/>
      <x:c r="M122" s="61"/>
      <x:c r="N122" s="61"/>
      <x:c r="O122" s="61"/>
      <x:c r="P122" s="61"/>
      <x:c r="Q122" s="61"/>
    </x:row>
    <x:row r="123">
      <x:c r="A123" s="61"/>
      <x:c r="B123" s="61"/>
      <x:c r="C123" s="61"/>
      <x:c r="D123" s="61"/>
      <x:c r="E123" s="61"/>
      <x:c r="F123" s="61"/>
      <x:c r="G123" s="61"/>
      <x:c r="H123" s="61"/>
      <x:c r="I123" s="61"/>
      <x:c r="J123" s="61"/>
      <x:c r="K123" s="61"/>
      <x:c r="L123" s="61"/>
      <x:c r="M123" s="61"/>
      <x:c r="N123" s="61"/>
      <x:c r="O123" s="61"/>
      <x:c r="P123" s="61"/>
      <x:c r="Q123" s="61"/>
    </x:row>
    <x:row r="124">
      <x:c r="A124" s="61"/>
      <x:c r="B124" s="61"/>
      <x:c r="C124" s="61"/>
      <x:c r="D124" s="61"/>
      <x:c r="E124" s="61"/>
      <x:c r="F124" s="61"/>
      <x:c r="G124" s="61"/>
      <x:c r="H124" s="61"/>
      <x:c r="I124" s="61"/>
      <x:c r="J124" s="61"/>
      <x:c r="K124" s="61"/>
      <x:c r="L124" s="61"/>
      <x:c r="M124" s="61"/>
      <x:c r="N124" s="61"/>
      <x:c r="O124" s="61"/>
      <x:c r="P124" s="61"/>
      <x:c r="Q124" s="61"/>
    </x:row>
    <x:row r="125">
      <x:c r="A125" s="61"/>
      <x:c r="B125" s="61"/>
      <x:c r="C125" s="61"/>
      <x:c r="D125" s="61"/>
      <x:c r="E125" s="61"/>
      <x:c r="F125" s="61"/>
      <x:c r="G125" s="61"/>
      <x:c r="H125" s="61"/>
      <x:c r="I125" s="61"/>
      <x:c r="J125" s="61"/>
      <x:c r="K125" s="61"/>
      <x:c r="L125" s="61"/>
      <x:c r="M125" s="61"/>
      <x:c r="N125" s="61"/>
      <x:c r="O125" s="61"/>
      <x:c r="P125" s="61"/>
      <x:c r="Q125" s="61"/>
    </x:row>
    <x:row r="126">
      <x:c r="A126" s="61"/>
      <x:c r="B126" s="61"/>
      <x:c r="C126" s="61"/>
      <x:c r="D126" s="61"/>
      <x:c r="E126" s="61"/>
      <x:c r="F126" s="61"/>
      <x:c r="G126" s="61"/>
      <x:c r="H126" s="61"/>
      <x:c r="I126" s="61"/>
      <x:c r="J126" s="61"/>
      <x:c r="K126" s="61"/>
      <x:c r="L126" s="61"/>
      <x:c r="M126" s="61"/>
      <x:c r="N126" s="61"/>
      <x:c r="O126" s="61"/>
      <x:c r="P126" s="61"/>
      <x:c r="Q126" s="61"/>
    </x:row>
    <x:row r="127">
      <x:c r="A127" s="61"/>
      <x:c r="B127" s="61"/>
      <x:c r="C127" s="61"/>
      <x:c r="D127" s="61"/>
      <x:c r="E127" s="61"/>
      <x:c r="F127" s="61"/>
      <x:c r="G127" s="61"/>
      <x:c r="H127" s="61"/>
      <x:c r="I127" s="61"/>
      <x:c r="J127" s="61"/>
      <x:c r="K127" s="61"/>
      <x:c r="L127" s="61"/>
      <x:c r="M127" s="61"/>
      <x:c r="N127" s="61"/>
      <x:c r="O127" s="61"/>
      <x:c r="P127" s="61"/>
      <x:c r="Q127" s="61"/>
    </x:row>
    <x:row r="128">
      <x:c r="A128" s="61"/>
      <x:c r="B128" s="61"/>
      <x:c r="C128" s="61"/>
      <x:c r="D128" s="61"/>
      <x:c r="E128" s="61"/>
      <x:c r="F128" s="61"/>
      <x:c r="G128" s="61"/>
      <x:c r="H128" s="61"/>
      <x:c r="I128" s="61"/>
      <x:c r="J128" s="61"/>
      <x:c r="K128" s="61"/>
      <x:c r="L128" s="61"/>
      <x:c r="M128" s="61"/>
      <x:c r="N128" s="61"/>
      <x:c r="O128" s="61"/>
      <x:c r="P128" s="61"/>
      <x:c r="Q128" s="61"/>
    </x:row>
    <x:row r="129">
      <x:c r="A129" s="61"/>
      <x:c r="B129" s="61"/>
      <x:c r="C129" s="61"/>
      <x:c r="D129" s="61"/>
      <x:c r="E129" s="61"/>
      <x:c r="F129" s="61"/>
      <x:c r="G129" s="61"/>
      <x:c r="H129" s="61"/>
      <x:c r="I129" s="61"/>
      <x:c r="J129" s="61"/>
      <x:c r="K129" s="61"/>
      <x:c r="L129" s="61"/>
      <x:c r="M129" s="61"/>
      <x:c r="N129" s="61"/>
      <x:c r="O129" s="61"/>
      <x:c r="P129" s="61"/>
      <x:c r="Q129" s="61"/>
    </x:row>
    <x:row r="130">
      <x:c r="A130" s="61"/>
      <x:c r="B130" s="61"/>
      <x:c r="C130" s="61"/>
      <x:c r="D130" s="61"/>
      <x:c r="E130" s="61"/>
      <x:c r="F130" s="61"/>
      <x:c r="G130" s="61"/>
      <x:c r="H130" s="61"/>
      <x:c r="I130" s="61"/>
      <x:c r="J130" s="61"/>
      <x:c r="K130" s="61"/>
      <x:c r="L130" s="61"/>
      <x:c r="M130" s="61"/>
      <x:c r="N130" s="61"/>
      <x:c r="O130" s="61"/>
      <x:c r="P130" s="61"/>
      <x:c r="Q130" s="61"/>
    </x:row>
    <x:row r="131">
      <x:c r="A131" s="61"/>
      <x:c r="B131" s="61"/>
      <x:c r="C131" s="61"/>
      <x:c r="D131" s="61"/>
      <x:c r="E131" s="61"/>
      <x:c r="F131" s="61"/>
      <x:c r="G131" s="61"/>
      <x:c r="H131" s="61"/>
      <x:c r="I131" s="61"/>
      <x:c r="J131" s="61"/>
      <x:c r="K131" s="61"/>
      <x:c r="L131" s="61"/>
      <x:c r="M131" s="61"/>
      <x:c r="N131" s="61"/>
      <x:c r="O131" s="61"/>
      <x:c r="P131" s="61"/>
      <x:c r="Q131" s="61"/>
    </x:row>
    <x:row r="132">
      <x:c r="A132" s="61"/>
      <x:c r="B132" s="61"/>
      <x:c r="C132" s="61"/>
      <x:c r="D132" s="61"/>
      <x:c r="E132" s="61"/>
      <x:c r="F132" s="61"/>
      <x:c r="G132" s="61"/>
      <x:c r="H132" s="61"/>
      <x:c r="I132" s="61"/>
      <x:c r="J132" s="61"/>
      <x:c r="K132" s="61"/>
      <x:c r="L132" s="61"/>
      <x:c r="M132" s="61"/>
      <x:c r="N132" s="61"/>
      <x:c r="O132" s="61"/>
      <x:c r="P132" s="61"/>
      <x:c r="Q132" s="61"/>
    </x:row>
    <x:row r="133">
      <x:c r="A133" s="61"/>
      <x:c r="B133" s="61"/>
      <x:c r="C133" s="61"/>
      <x:c r="D133" s="61"/>
      <x:c r="E133" s="61"/>
      <x:c r="F133" s="61"/>
      <x:c r="G133" s="61"/>
      <x:c r="H133" s="61"/>
      <x:c r="I133" s="61"/>
      <x:c r="J133" s="61"/>
      <x:c r="K133" s="61"/>
      <x:c r="L133" s="61"/>
      <x:c r="M133" s="61"/>
      <x:c r="N133" s="61"/>
      <x:c r="O133" s="61"/>
      <x:c r="P133" s="61"/>
      <x:c r="Q133" s="61"/>
    </x:row>
    <x:row r="134">
      <x:c r="A134" s="61"/>
      <x:c r="B134" s="61"/>
      <x:c r="C134" s="61"/>
      <x:c r="D134" s="61"/>
      <x:c r="E134" s="61"/>
      <x:c r="F134" s="61"/>
      <x:c r="G134" s="61"/>
      <x:c r="H134" s="61"/>
      <x:c r="I134" s="61"/>
      <x:c r="J134" s="61"/>
      <x:c r="K134" s="61"/>
      <x:c r="L134" s="61"/>
      <x:c r="M134" s="61"/>
      <x:c r="N134" s="61"/>
      <x:c r="O134" s="61"/>
      <x:c r="P134" s="61"/>
      <x:c r="Q134" s="61"/>
    </x:row>
    <x:row r="135">
      <x:c r="A135" s="61"/>
      <x:c r="B135" s="61"/>
      <x:c r="C135" s="61"/>
      <x:c r="D135" s="61"/>
      <x:c r="E135" s="61"/>
      <x:c r="F135" s="61"/>
      <x:c r="G135" s="61"/>
      <x:c r="H135" s="61"/>
      <x:c r="I135" s="61"/>
      <x:c r="J135" s="61"/>
      <x:c r="K135" s="61"/>
      <x:c r="L135" s="61"/>
      <x:c r="M135" s="61"/>
      <x:c r="N135" s="61"/>
      <x:c r="O135" s="61"/>
      <x:c r="P135" s="61"/>
      <x:c r="Q135" s="61"/>
    </x:row>
    <x:row r="136">
      <x:c r="A136" s="61"/>
      <x:c r="B136" s="61"/>
      <x:c r="C136" s="61"/>
      <x:c r="D136" s="61"/>
      <x:c r="E136" s="61"/>
      <x:c r="F136" s="61"/>
      <x:c r="G136" s="61"/>
      <x:c r="H136" s="61"/>
      <x:c r="I136" s="61"/>
      <x:c r="J136" s="61"/>
      <x:c r="K136" s="61"/>
      <x:c r="L136" s="61"/>
      <x:c r="M136" s="61"/>
      <x:c r="N136" s="61"/>
      <x:c r="O136" s="61"/>
      <x:c r="P136" s="61"/>
      <x:c r="Q136" s="61"/>
    </x:row>
    <x:row r="137">
      <x:c r="A137" s="61"/>
      <x:c r="B137" s="61"/>
      <x:c r="C137" s="61"/>
      <x:c r="D137" s="61"/>
      <x:c r="E137" s="61"/>
      <x:c r="F137" s="61"/>
      <x:c r="G137" s="61"/>
      <x:c r="H137" s="61"/>
      <x:c r="I137" s="61"/>
      <x:c r="J137" s="61"/>
      <x:c r="K137" s="61"/>
      <x:c r="L137" s="61"/>
      <x:c r="M137" s="61"/>
      <x:c r="N137" s="61"/>
      <x:c r="O137" s="61"/>
      <x:c r="P137" s="61"/>
      <x:c r="Q137" s="61"/>
    </x:row>
    <x:row r="138">
      <x:c r="A138" s="61"/>
      <x:c r="B138" s="61"/>
      <x:c r="C138" s="61"/>
      <x:c r="D138" s="61"/>
      <x:c r="E138" s="61"/>
      <x:c r="F138" s="61"/>
      <x:c r="G138" s="61"/>
      <x:c r="H138" s="61"/>
      <x:c r="I138" s="61"/>
      <x:c r="J138" s="61"/>
      <x:c r="K138" s="61"/>
      <x:c r="L138" s="61"/>
      <x:c r="M138" s="61"/>
      <x:c r="N138" s="61"/>
      <x:c r="O138" s="61"/>
      <x:c r="P138" s="61"/>
      <x:c r="Q138" s="61"/>
    </x:row>
    <x:row r="139">
      <x:c r="A139" s="61"/>
      <x:c r="B139" s="61"/>
      <x:c r="C139" s="61"/>
      <x:c r="D139" s="61"/>
      <x:c r="E139" s="61"/>
      <x:c r="F139" s="61"/>
      <x:c r="G139" s="61"/>
      <x:c r="H139" s="61"/>
      <x:c r="I139" s="61"/>
      <x:c r="J139" s="61"/>
      <x:c r="K139" s="61"/>
      <x:c r="L139" s="61"/>
      <x:c r="M139" s="61"/>
      <x:c r="N139" s="61"/>
      <x:c r="O139" s="61"/>
      <x:c r="P139" s="61"/>
      <x:c r="Q139" s="61"/>
    </x:row>
    <x:row r="140">
      <x:c r="A140" s="61"/>
      <x:c r="B140" s="61"/>
      <x:c r="C140" s="61"/>
      <x:c r="D140" s="61"/>
      <x:c r="E140" s="61"/>
      <x:c r="F140" s="61"/>
      <x:c r="G140" s="61"/>
      <x:c r="H140" s="61"/>
      <x:c r="I140" s="61"/>
      <x:c r="J140" s="61"/>
      <x:c r="K140" s="61"/>
      <x:c r="L140" s="61"/>
      <x:c r="M140" s="61"/>
      <x:c r="N140" s="61"/>
      <x:c r="O140" s="61"/>
      <x:c r="P140" s="61"/>
      <x:c r="Q140" s="61"/>
    </x:row>
    <x:row r="141">
      <x:c r="A141" s="61"/>
      <x:c r="B141" s="61"/>
      <x:c r="C141" s="61"/>
      <x:c r="D141" s="61"/>
      <x:c r="E141" s="61"/>
      <x:c r="F141" s="61"/>
      <x:c r="G141" s="61"/>
      <x:c r="H141" s="61"/>
      <x:c r="I141" s="61"/>
      <x:c r="J141" s="61"/>
      <x:c r="K141" s="61"/>
      <x:c r="L141" s="61"/>
      <x:c r="M141" s="61"/>
      <x:c r="N141" s="61"/>
      <x:c r="O141" s="61"/>
      <x:c r="P141" s="61"/>
      <x:c r="Q141" s="61"/>
    </x:row>
    <x:row r="142">
      <x:c r="A142" s="61"/>
      <x:c r="B142" s="61"/>
      <x:c r="C142" s="61"/>
      <x:c r="D142" s="61"/>
      <x:c r="E142" s="61"/>
      <x:c r="F142" s="61"/>
      <x:c r="G142" s="61"/>
      <x:c r="H142" s="61"/>
      <x:c r="I142" s="61"/>
      <x:c r="J142" s="61"/>
      <x:c r="K142" s="61"/>
      <x:c r="L142" s="61"/>
      <x:c r="M142" s="61"/>
      <x:c r="N142" s="61"/>
      <x:c r="O142" s="61"/>
      <x:c r="P142" s="61"/>
      <x:c r="Q142" s="61"/>
    </x:row>
    <x:row r="143">
      <x:c r="A143" s="61"/>
      <x:c r="B143" s="61"/>
      <x:c r="C143" s="61"/>
      <x:c r="D143" s="61"/>
      <x:c r="E143" s="61"/>
      <x:c r="F143" s="61"/>
      <x:c r="G143" s="61"/>
      <x:c r="H143" s="61"/>
      <x:c r="I143" s="61"/>
      <x:c r="J143" s="61"/>
      <x:c r="K143" s="61"/>
      <x:c r="L143" s="61"/>
      <x:c r="M143" s="61"/>
      <x:c r="N143" s="61"/>
      <x:c r="O143" s="61"/>
      <x:c r="P143" s="61"/>
      <x:c r="Q143" s="61"/>
    </x:row>
    <x:row r="144">
      <x:c r="A144" s="61"/>
      <x:c r="B144" s="61"/>
      <x:c r="C144" s="61"/>
      <x:c r="D144" s="61"/>
      <x:c r="E144" s="61"/>
      <x:c r="F144" s="61"/>
      <x:c r="G144" s="61"/>
      <x:c r="H144" s="61"/>
      <x:c r="I144" s="61"/>
      <x:c r="J144" s="61"/>
      <x:c r="K144" s="61"/>
      <x:c r="L144" s="61"/>
      <x:c r="M144" s="61"/>
      <x:c r="N144" s="61"/>
      <x:c r="O144" s="61"/>
      <x:c r="P144" s="61"/>
      <x:c r="Q144" s="61"/>
    </x:row>
    <x:row r="145">
      <x:c r="A145" s="61"/>
      <x:c r="B145" s="61"/>
      <x:c r="C145" s="61"/>
      <x:c r="D145" s="61"/>
      <x:c r="E145" s="61"/>
      <x:c r="F145" s="61"/>
      <x:c r="G145" s="61"/>
      <x:c r="H145" s="61"/>
      <x:c r="I145" s="61"/>
      <x:c r="J145" s="61"/>
      <x:c r="K145" s="61"/>
      <x:c r="L145" s="61"/>
      <x:c r="M145" s="61"/>
      <x:c r="N145" s="61"/>
      <x:c r="O145" s="61"/>
      <x:c r="P145" s="61"/>
      <x:c r="Q145" s="61"/>
    </x:row>
    <x:row r="146">
      <x:c r="A146" s="61"/>
      <x:c r="B146" s="61"/>
      <x:c r="C146" s="61"/>
      <x:c r="D146" s="61"/>
      <x:c r="E146" s="61"/>
      <x:c r="F146" s="61"/>
      <x:c r="G146" s="61"/>
      <x:c r="H146" s="61"/>
      <x:c r="I146" s="61"/>
      <x:c r="J146" s="61"/>
      <x:c r="K146" s="61"/>
      <x:c r="L146" s="61"/>
      <x:c r="M146" s="61"/>
      <x:c r="N146" s="61"/>
      <x:c r="O146" s="61"/>
      <x:c r="P146" s="61"/>
      <x:c r="Q146" s="61"/>
    </x:row>
    <x:row r="147">
      <x:c r="A147" s="61"/>
      <x:c r="B147" s="61"/>
      <x:c r="C147" s="61"/>
      <x:c r="D147" s="61"/>
      <x:c r="E147" s="61"/>
      <x:c r="F147" s="61"/>
      <x:c r="G147" s="61"/>
      <x:c r="H147" s="61"/>
      <x:c r="I147" s="61"/>
      <x:c r="J147" s="61"/>
      <x:c r="K147" s="61"/>
      <x:c r="L147" s="61"/>
      <x:c r="M147" s="61"/>
      <x:c r="N147" s="61"/>
      <x:c r="O147" s="61"/>
      <x:c r="P147" s="61"/>
      <x:c r="Q147" s="61"/>
    </x:row>
    <x:row r="148">
      <x:c r="A148" s="61"/>
      <x:c r="B148" s="61"/>
      <x:c r="C148" s="61"/>
      <x:c r="D148" s="61"/>
      <x:c r="E148" s="61"/>
      <x:c r="F148" s="61"/>
      <x:c r="G148" s="61"/>
      <x:c r="H148" s="61"/>
      <x:c r="I148" s="61"/>
      <x:c r="J148" s="61"/>
      <x:c r="K148" s="61"/>
      <x:c r="L148" s="61"/>
      <x:c r="M148" s="61"/>
      <x:c r="N148" s="61"/>
      <x:c r="O148" s="61"/>
      <x:c r="P148" s="61"/>
      <x:c r="Q148" s="61"/>
    </x:row>
    <x:row r="149">
      <x:c r="A149" s="61"/>
      <x:c r="B149" s="61"/>
      <x:c r="C149" s="61"/>
      <x:c r="D149" s="61"/>
      <x:c r="E149" s="61"/>
      <x:c r="F149" s="61"/>
      <x:c r="G149" s="61"/>
      <x:c r="H149" s="61"/>
      <x:c r="I149" s="61"/>
      <x:c r="J149" s="61"/>
      <x:c r="K149" s="61"/>
      <x:c r="L149" s="61"/>
      <x:c r="M149" s="61"/>
      <x:c r="N149" s="61"/>
      <x:c r="O149" s="61"/>
      <x:c r="P149" s="61"/>
      <x:c r="Q149" s="61"/>
    </x:row>
    <x:row r="150">
      <x:c r="A150" s="61"/>
      <x:c r="B150" s="61"/>
      <x:c r="C150" s="61"/>
      <x:c r="D150" s="61"/>
      <x:c r="E150" s="61"/>
      <x:c r="F150" s="61"/>
      <x:c r="G150" s="61"/>
      <x:c r="H150" s="61"/>
      <x:c r="I150" s="61"/>
      <x:c r="J150" s="61"/>
      <x:c r="K150" s="61"/>
      <x:c r="L150" s="61"/>
      <x:c r="M150" s="61"/>
      <x:c r="N150" s="61"/>
      <x:c r="O150" s="61"/>
      <x:c r="P150" s="61"/>
      <x:c r="Q150" s="61"/>
    </x:row>
    <x:row r="151">
      <x:c r="A151" s="61"/>
      <x:c r="B151" s="61"/>
      <x:c r="C151" s="61"/>
      <x:c r="D151" s="61"/>
      <x:c r="E151" s="61"/>
      <x:c r="F151" s="61"/>
      <x:c r="G151" s="61"/>
      <x:c r="H151" s="61"/>
      <x:c r="I151" s="61"/>
      <x:c r="J151" s="61"/>
      <x:c r="K151" s="61"/>
      <x:c r="L151" s="61"/>
      <x:c r="M151" s="61"/>
      <x:c r="N151" s="61"/>
      <x:c r="O151" s="61"/>
      <x:c r="P151" s="61"/>
      <x:c r="Q151" s="61"/>
    </x:row>
    <x:row r="152">
      <x:c r="A152" s="61"/>
      <x:c r="B152" s="61"/>
      <x:c r="C152" s="61"/>
      <x:c r="D152" s="61"/>
      <x:c r="E152" s="61"/>
      <x:c r="F152" s="61"/>
      <x:c r="G152" s="61"/>
      <x:c r="H152" s="61"/>
      <x:c r="I152" s="61"/>
      <x:c r="J152" s="61"/>
      <x:c r="K152" s="61"/>
      <x:c r="L152" s="61"/>
      <x:c r="M152" s="61"/>
      <x:c r="N152" s="61"/>
      <x:c r="O152" s="61"/>
      <x:c r="P152" s="61"/>
      <x:c r="Q152" s="61"/>
    </x:row>
    <x:row r="153">
      <x:c r="A153" s="61"/>
      <x:c r="B153" s="61"/>
      <x:c r="C153" s="61"/>
      <x:c r="D153" s="61"/>
      <x:c r="E153" s="61"/>
      <x:c r="F153" s="61"/>
      <x:c r="G153" s="61"/>
      <x:c r="H153" s="61"/>
      <x:c r="I153" s="61"/>
      <x:c r="J153" s="61"/>
      <x:c r="K153" s="61"/>
      <x:c r="L153" s="61"/>
      <x:c r="M153" s="61"/>
      <x:c r="N153" s="61"/>
      <x:c r="O153" s="61"/>
      <x:c r="P153" s="61"/>
      <x:c r="Q153" s="61"/>
    </x:row>
    <x:row r="154">
      <x:c r="A154" s="61"/>
      <x:c r="B154" s="61"/>
      <x:c r="C154" s="61"/>
      <x:c r="D154" s="61"/>
      <x:c r="E154" s="61"/>
      <x:c r="F154" s="61"/>
      <x:c r="G154" s="61"/>
      <x:c r="H154" s="61"/>
      <x:c r="I154" s="61"/>
      <x:c r="J154" s="61"/>
      <x:c r="K154" s="61"/>
      <x:c r="L154" s="61"/>
      <x:c r="M154" s="61"/>
      <x:c r="N154" s="61"/>
      <x:c r="O154" s="61"/>
      <x:c r="P154" s="61"/>
      <x:c r="Q154" s="61"/>
    </x:row>
    <x:row r="155">
      <x:c r="A155" s="61"/>
      <x:c r="B155" s="61"/>
      <x:c r="C155" s="61"/>
      <x:c r="D155" s="61"/>
      <x:c r="E155" s="61"/>
      <x:c r="F155" s="61"/>
      <x:c r="G155" s="61"/>
      <x:c r="H155" s="61"/>
      <x:c r="I155" s="61"/>
      <x:c r="J155" s="61"/>
      <x:c r="K155" s="61"/>
      <x:c r="L155" s="61"/>
      <x:c r="M155" s="61"/>
      <x:c r="N155" s="61"/>
      <x:c r="O155" s="61"/>
      <x:c r="P155" s="61"/>
      <x:c r="Q155" s="61"/>
    </x:row>
    <x:row r="156">
      <x:c r="A156" s="61"/>
      <x:c r="B156" s="61"/>
      <x:c r="C156" s="61"/>
      <x:c r="D156" s="61"/>
      <x:c r="E156" s="61"/>
      <x:c r="F156" s="61"/>
      <x:c r="G156" s="61"/>
      <x:c r="H156" s="61"/>
      <x:c r="I156" s="61"/>
      <x:c r="J156" s="61"/>
      <x:c r="K156" s="61"/>
      <x:c r="L156" s="61"/>
      <x:c r="M156" s="61"/>
      <x:c r="N156" s="61"/>
      <x:c r="O156" s="61"/>
      <x:c r="P156" s="61"/>
      <x:c r="Q156" s="61"/>
    </x:row>
    <x:row r="157">
      <x:c r="A157" s="61"/>
      <x:c r="B157" s="61"/>
      <x:c r="C157" s="61"/>
      <x:c r="D157" s="61"/>
      <x:c r="E157" s="61"/>
      <x:c r="F157" s="61"/>
      <x:c r="G157" s="61"/>
      <x:c r="H157" s="61"/>
      <x:c r="I157" s="61"/>
      <x:c r="J157" s="61"/>
      <x:c r="K157" s="61"/>
      <x:c r="L157" s="61"/>
      <x:c r="M157" s="61"/>
      <x:c r="N157" s="61"/>
      <x:c r="O157" s="61"/>
      <x:c r="P157" s="61"/>
      <x:c r="Q157" s="61"/>
    </x:row>
    <x:row r="158">
      <x:c r="A158" s="61"/>
      <x:c r="B158" s="61"/>
      <x:c r="C158" s="61"/>
      <x:c r="D158" s="61"/>
      <x:c r="E158" s="61"/>
      <x:c r="F158" s="61"/>
      <x:c r="G158" s="61"/>
      <x:c r="H158" s="61"/>
      <x:c r="I158" s="61"/>
      <x:c r="J158" s="61"/>
      <x:c r="K158" s="61"/>
      <x:c r="L158" s="61"/>
      <x:c r="M158" s="61"/>
      <x:c r="N158" s="61"/>
      <x:c r="O158" s="61"/>
      <x:c r="P158" s="61"/>
      <x:c r="Q158" s="61"/>
    </x:row>
    <x:row r="159">
      <x:c r="A159" s="61"/>
      <x:c r="B159" s="61"/>
      <x:c r="C159" s="61"/>
      <x:c r="D159" s="61"/>
      <x:c r="E159" s="61"/>
      <x:c r="F159" s="61"/>
      <x:c r="G159" s="61"/>
      <x:c r="H159" s="61"/>
      <x:c r="I159" s="61"/>
      <x:c r="J159" s="61"/>
      <x:c r="K159" s="61"/>
      <x:c r="L159" s="61"/>
      <x:c r="M159" s="61"/>
      <x:c r="N159" s="61"/>
      <x:c r="O159" s="61"/>
      <x:c r="P159" s="61"/>
      <x:c r="Q159" s="61"/>
    </x:row>
    <x:row r="160">
      <x:c r="A160" s="61"/>
      <x:c r="B160" s="61"/>
      <x:c r="C160" s="61"/>
      <x:c r="D160" s="61"/>
      <x:c r="E160" s="61"/>
      <x:c r="F160" s="61"/>
      <x:c r="G160" s="61"/>
      <x:c r="H160" s="61"/>
      <x:c r="I160" s="61"/>
      <x:c r="J160" s="61"/>
      <x:c r="K160" s="61"/>
      <x:c r="L160" s="61"/>
      <x:c r="M160" s="61"/>
      <x:c r="N160" s="61"/>
      <x:c r="O160" s="61"/>
      <x:c r="P160" s="61"/>
      <x:c r="Q160" s="61"/>
    </x:row>
    <x:row r="161">
      <x:c r="A161" s="61"/>
      <x:c r="B161" s="61"/>
      <x:c r="C161" s="61"/>
      <x:c r="D161" s="61"/>
      <x:c r="E161" s="61"/>
      <x:c r="F161" s="61"/>
      <x:c r="G161" s="61"/>
      <x:c r="H161" s="61"/>
      <x:c r="I161" s="61"/>
      <x:c r="J161" s="61"/>
      <x:c r="K161" s="61"/>
      <x:c r="L161" s="61"/>
      <x:c r="M161" s="61"/>
      <x:c r="N161" s="61"/>
      <x:c r="O161" s="61"/>
      <x:c r="P161" s="61"/>
      <x:c r="Q161" s="61"/>
    </x:row>
    <x:row r="162">
      <x:c r="A162" s="61"/>
      <x:c r="B162" s="61"/>
      <x:c r="C162" s="61"/>
      <x:c r="D162" s="61"/>
      <x:c r="E162" s="61"/>
      <x:c r="F162" s="61"/>
      <x:c r="G162" s="61"/>
      <x:c r="H162" s="61"/>
      <x:c r="I162" s="61"/>
      <x:c r="J162" s="61"/>
      <x:c r="K162" s="61"/>
      <x:c r="L162" s="61"/>
      <x:c r="M162" s="61"/>
      <x:c r="N162" s="61"/>
      <x:c r="O162" s="61"/>
      <x:c r="P162" s="61"/>
      <x:c r="Q162" s="61"/>
    </x:row>
    <x:row r="163">
      <x:c r="A163" s="61"/>
      <x:c r="B163" s="61"/>
      <x:c r="C163" s="61"/>
      <x:c r="D163" s="61"/>
      <x:c r="E163" s="61"/>
      <x:c r="F163" s="61"/>
      <x:c r="G163" s="61"/>
      <x:c r="H163" s="61"/>
      <x:c r="I163" s="61"/>
      <x:c r="J163" s="61"/>
      <x:c r="K163" s="61"/>
      <x:c r="L163" s="61"/>
      <x:c r="M163" s="61"/>
      <x:c r="N163" s="61"/>
      <x:c r="O163" s="61"/>
      <x:c r="P163" s="61"/>
      <x:c r="Q163" s="61"/>
    </x:row>
    <x:row r="164">
      <x:c r="A164" s="61"/>
      <x:c r="B164" s="61"/>
      <x:c r="C164" s="61"/>
      <x:c r="D164" s="61"/>
      <x:c r="E164" s="61"/>
      <x:c r="F164" s="61"/>
      <x:c r="G164" s="61"/>
      <x:c r="H164" s="61"/>
      <x:c r="I164" s="61"/>
      <x:c r="J164" s="61"/>
      <x:c r="K164" s="61"/>
      <x:c r="L164" s="61"/>
      <x:c r="M164" s="61"/>
      <x:c r="N164" s="61"/>
      <x:c r="O164" s="61"/>
      <x:c r="P164" s="61"/>
      <x:c r="Q164" s="61"/>
    </x:row>
    <x:row r="165">
      <x:c r="A165" s="61"/>
      <x:c r="B165" s="61"/>
      <x:c r="C165" s="61"/>
      <x:c r="D165" s="61"/>
      <x:c r="E165" s="61"/>
      <x:c r="F165" s="61"/>
      <x:c r="G165" s="61"/>
      <x:c r="H165" s="61"/>
      <x:c r="I165" s="61"/>
      <x:c r="J165" s="61"/>
      <x:c r="K165" s="61"/>
      <x:c r="L165" s="61"/>
      <x:c r="M165" s="61"/>
      <x:c r="N165" s="61"/>
      <x:c r="O165" s="61"/>
      <x:c r="P165" s="61"/>
      <x:c r="Q165" s="61"/>
    </x:row>
    <x:row r="166">
      <x:c r="A166" s="61"/>
      <x:c r="B166" s="61"/>
      <x:c r="C166" s="61"/>
      <x:c r="D166" s="61"/>
      <x:c r="E166" s="61"/>
      <x:c r="F166" s="61"/>
      <x:c r="G166" s="61"/>
      <x:c r="H166" s="61"/>
      <x:c r="I166" s="61"/>
      <x:c r="J166" s="61"/>
      <x:c r="K166" s="61"/>
      <x:c r="L166" s="61"/>
      <x:c r="M166" s="61"/>
      <x:c r="N166" s="61"/>
      <x:c r="O166" s="61"/>
      <x:c r="P166" s="61"/>
      <x:c r="Q166" s="61"/>
    </x:row>
    <x:row r="167">
      <x:c r="A167" s="61"/>
      <x:c r="B167" s="61"/>
      <x:c r="C167" s="61"/>
      <x:c r="D167" s="61"/>
      <x:c r="E167" s="61"/>
      <x:c r="F167" s="61"/>
      <x:c r="G167" s="61"/>
      <x:c r="H167" s="61"/>
      <x:c r="I167" s="61"/>
      <x:c r="J167" s="61"/>
      <x:c r="K167" s="61"/>
      <x:c r="L167" s="61"/>
      <x:c r="M167" s="61"/>
      <x:c r="N167" s="61"/>
      <x:c r="O167" s="61"/>
      <x:c r="P167" s="61"/>
      <x:c r="Q167" s="61"/>
    </x:row>
    <x:row r="168">
      <x:c r="A168" s="61"/>
      <x:c r="B168" s="61"/>
      <x:c r="C168" s="61"/>
      <x:c r="D168" s="61"/>
      <x:c r="E168" s="61"/>
      <x:c r="F168" s="61"/>
      <x:c r="G168" s="61"/>
      <x:c r="H168" s="61"/>
      <x:c r="I168" s="61"/>
      <x:c r="J168" s="61"/>
      <x:c r="K168" s="61"/>
      <x:c r="L168" s="61"/>
      <x:c r="M168" s="61"/>
      <x:c r="N168" s="61"/>
      <x:c r="O168" s="61"/>
      <x:c r="P168" s="61"/>
      <x:c r="Q168" s="61"/>
    </x:row>
    <x:row r="169">
      <x:c r="A169" s="61"/>
      <x:c r="B169" s="61"/>
      <x:c r="C169" s="61"/>
      <x:c r="D169" s="61"/>
      <x:c r="E169" s="61"/>
      <x:c r="F169" s="61"/>
      <x:c r="G169" s="61"/>
      <x:c r="H169" s="61"/>
      <x:c r="I169" s="61"/>
      <x:c r="J169" s="61"/>
      <x:c r="K169" s="61"/>
      <x:c r="L169" s="61"/>
      <x:c r="M169" s="61"/>
      <x:c r="N169" s="61"/>
      <x:c r="O169" s="61"/>
      <x:c r="P169" s="61"/>
      <x:c r="Q169" s="61"/>
    </x:row>
    <x:row r="170">
      <x:c r="A170" s="61"/>
      <x:c r="B170" s="61"/>
      <x:c r="C170" s="61"/>
      <x:c r="D170" s="61"/>
      <x:c r="E170" s="61"/>
      <x:c r="F170" s="61"/>
      <x:c r="G170" s="61"/>
      <x:c r="H170" s="61"/>
      <x:c r="I170" s="61"/>
      <x:c r="J170" s="61"/>
      <x:c r="K170" s="61"/>
      <x:c r="L170" s="61"/>
      <x:c r="M170" s="61"/>
      <x:c r="N170" s="61"/>
      <x:c r="O170" s="61"/>
      <x:c r="P170" s="61"/>
      <x:c r="Q170" s="61"/>
    </x:row>
    <x:row r="171">
      <x:c r="A171" s="61"/>
      <x:c r="B171" s="61"/>
      <x:c r="C171" s="61"/>
      <x:c r="D171" s="61"/>
      <x:c r="E171" s="61"/>
      <x:c r="F171" s="61"/>
      <x:c r="G171" s="61"/>
      <x:c r="H171" s="61"/>
      <x:c r="I171" s="61"/>
      <x:c r="J171" s="61"/>
      <x:c r="K171" s="61"/>
      <x:c r="L171" s="61"/>
      <x:c r="M171" s="61"/>
      <x:c r="N171" s="61"/>
      <x:c r="O171" s="61"/>
      <x:c r="P171" s="61"/>
      <x:c r="Q171" s="61"/>
    </x:row>
    <x:row r="172">
      <x:c r="A172" s="61"/>
      <x:c r="B172" s="61"/>
      <x:c r="C172" s="61"/>
      <x:c r="D172" s="61"/>
      <x:c r="E172" s="61"/>
      <x:c r="F172" s="61"/>
      <x:c r="G172" s="61"/>
      <x:c r="H172" s="61"/>
      <x:c r="I172" s="61"/>
      <x:c r="J172" s="61"/>
      <x:c r="K172" s="61"/>
      <x:c r="L172" s="61"/>
      <x:c r="M172" s="61"/>
      <x:c r="N172" s="61"/>
      <x:c r="O172" s="61"/>
      <x:c r="P172" s="61"/>
      <x:c r="Q172" s="61"/>
    </x:row>
    <x:row r="173">
      <x:c r="A173" s="61"/>
      <x:c r="B173" s="61"/>
      <x:c r="C173" s="61"/>
      <x:c r="D173" s="61"/>
      <x:c r="E173" s="61"/>
      <x:c r="F173" s="61"/>
      <x:c r="G173" s="61"/>
      <x:c r="H173" s="61"/>
      <x:c r="I173" s="61"/>
      <x:c r="J173" s="61"/>
      <x:c r="K173" s="61"/>
      <x:c r="L173" s="61"/>
      <x:c r="M173" s="61"/>
      <x:c r="N173" s="61"/>
      <x:c r="O173" s="61"/>
      <x:c r="P173" s="61"/>
      <x:c r="Q173" s="61"/>
    </x:row>
    <x:row r="174">
      <x:c r="A174" s="61"/>
      <x:c r="B174" s="61"/>
      <x:c r="C174" s="61"/>
      <x:c r="D174" s="61"/>
      <x:c r="E174" s="61"/>
      <x:c r="F174" s="61"/>
      <x:c r="G174" s="61"/>
      <x:c r="H174" s="61"/>
      <x:c r="I174" s="61"/>
      <x:c r="J174" s="61"/>
      <x:c r="K174" s="61"/>
      <x:c r="L174" s="61"/>
      <x:c r="M174" s="61"/>
      <x:c r="N174" s="61"/>
      <x:c r="O174" s="61"/>
      <x:c r="P174" s="61"/>
      <x:c r="Q174" s="61"/>
    </x:row>
    <x:row r="175">
      <x:c r="A175" s="61"/>
      <x:c r="B175" s="61"/>
      <x:c r="C175" s="61"/>
      <x:c r="D175" s="61"/>
      <x:c r="E175" s="61"/>
      <x:c r="F175" s="61"/>
      <x:c r="G175" s="61"/>
      <x:c r="H175" s="61"/>
      <x:c r="I175" s="61"/>
      <x:c r="J175" s="61"/>
      <x:c r="K175" s="61"/>
      <x:c r="L175" s="61"/>
      <x:c r="M175" s="61"/>
      <x:c r="N175" s="61"/>
      <x:c r="O175" s="61"/>
      <x:c r="P175" s="61"/>
      <x:c r="Q175" s="61"/>
    </x:row>
    <x:row r="176">
      <x:c r="A176" s="61"/>
      <x:c r="B176" s="61"/>
      <x:c r="C176" s="61"/>
      <x:c r="D176" s="61"/>
      <x:c r="E176" s="61"/>
      <x:c r="F176" s="61"/>
      <x:c r="G176" s="61"/>
      <x:c r="H176" s="61"/>
      <x:c r="I176" s="61"/>
      <x:c r="J176" s="61"/>
      <x:c r="K176" s="61"/>
      <x:c r="L176" s="61"/>
      <x:c r="M176" s="61"/>
      <x:c r="N176" s="61"/>
      <x:c r="O176" s="61"/>
      <x:c r="P176" s="61"/>
      <x:c r="Q176" s="61"/>
    </x:row>
    <x:row r="177">
      <x:c r="A177" s="61"/>
      <x:c r="B177" s="61"/>
      <x:c r="C177" s="61"/>
      <x:c r="D177" s="61"/>
      <x:c r="E177" s="61"/>
      <x:c r="F177" s="61"/>
      <x:c r="G177" s="61"/>
      <x:c r="H177" s="61"/>
      <x:c r="I177" s="61"/>
      <x:c r="J177" s="61"/>
      <x:c r="K177" s="61"/>
      <x:c r="L177" s="61"/>
      <x:c r="M177" s="61"/>
      <x:c r="N177" s="61"/>
      <x:c r="O177" s="61"/>
      <x:c r="P177" s="61"/>
      <x:c r="Q177" s="61"/>
    </x:row>
    <x:row r="178">
      <x:c r="A178" s="61"/>
      <x:c r="B178" s="61"/>
      <x:c r="C178" s="61"/>
      <x:c r="D178" s="61"/>
      <x:c r="E178" s="61"/>
      <x:c r="F178" s="61"/>
      <x:c r="G178" s="61"/>
      <x:c r="H178" s="61"/>
      <x:c r="I178" s="61"/>
      <x:c r="J178" s="61"/>
      <x:c r="K178" s="61"/>
      <x:c r="L178" s="61"/>
      <x:c r="M178" s="61"/>
      <x:c r="N178" s="61"/>
      <x:c r="O178" s="61"/>
      <x:c r="P178" s="61"/>
      <x:c r="Q178" s="61"/>
    </x:row>
    <x:row r="179">
      <x:c r="A179" s="61"/>
      <x:c r="B179" s="61"/>
      <x:c r="C179" s="61"/>
      <x:c r="D179" s="61"/>
      <x:c r="E179" s="61"/>
      <x:c r="F179" s="61"/>
      <x:c r="G179" s="61"/>
      <x:c r="H179" s="61"/>
      <x:c r="I179" s="61"/>
      <x:c r="J179" s="61"/>
      <x:c r="K179" s="61"/>
      <x:c r="L179" s="61"/>
      <x:c r="M179" s="61"/>
      <x:c r="N179" s="61"/>
      <x:c r="O179" s="61"/>
      <x:c r="P179" s="61"/>
      <x:c r="Q179" s="61"/>
    </x:row>
    <x:row r="180">
      <x:c r="A180" s="61"/>
      <x:c r="B180" s="61"/>
      <x:c r="C180" s="61"/>
      <x:c r="D180" s="61"/>
      <x:c r="E180" s="61"/>
      <x:c r="F180" s="61"/>
      <x:c r="G180" s="61"/>
      <x:c r="H180" s="61"/>
      <x:c r="I180" s="61"/>
      <x:c r="J180" s="61"/>
      <x:c r="K180" s="61"/>
      <x:c r="L180" s="61"/>
      <x:c r="M180" s="61"/>
      <x:c r="N180" s="61"/>
      <x:c r="O180" s="61"/>
      <x:c r="P180" s="61"/>
      <x:c r="Q180" s="61"/>
    </x:row>
    <x:row r="181">
      <x:c r="A181" s="61"/>
      <x:c r="B181" s="61"/>
      <x:c r="C181" s="61"/>
      <x:c r="D181" s="61"/>
      <x:c r="E181" s="61"/>
      <x:c r="F181" s="61"/>
      <x:c r="G181" s="61"/>
      <x:c r="H181" s="61"/>
      <x:c r="I181" s="61"/>
      <x:c r="J181" s="61"/>
      <x:c r="K181" s="61"/>
      <x:c r="L181" s="61"/>
      <x:c r="M181" s="61"/>
      <x:c r="N181" s="61"/>
      <x:c r="O181" s="61"/>
      <x:c r="P181" s="61"/>
      <x:c r="Q181" s="61"/>
    </x:row>
    <x:row r="182">
      <x:c r="A182" s="61"/>
      <x:c r="B182" s="61"/>
      <x:c r="C182" s="61"/>
      <x:c r="D182" s="61"/>
      <x:c r="E182" s="61"/>
      <x:c r="F182" s="61"/>
      <x:c r="G182" s="61"/>
      <x:c r="H182" s="61"/>
      <x:c r="I182" s="61"/>
      <x:c r="J182" s="61"/>
      <x:c r="K182" s="61"/>
      <x:c r="L182" s="61"/>
      <x:c r="M182" s="61"/>
      <x:c r="N182" s="61"/>
      <x:c r="O182" s="61"/>
      <x:c r="P182" s="61"/>
      <x:c r="Q182" s="61"/>
    </x:row>
    <x:row r="183">
      <x:c r="A183" s="61"/>
      <x:c r="B183" s="61"/>
      <x:c r="C183" s="61"/>
      <x:c r="D183" s="61"/>
      <x:c r="E183" s="61"/>
      <x:c r="F183" s="61"/>
      <x:c r="G183" s="61"/>
      <x:c r="H183" s="61"/>
      <x:c r="I183" s="61"/>
      <x:c r="J183" s="61"/>
      <x:c r="K183" s="61"/>
      <x:c r="L183" s="61"/>
      <x:c r="M183" s="61"/>
      <x:c r="N183" s="61"/>
      <x:c r="O183" s="61"/>
      <x:c r="P183" s="61"/>
      <x:c r="Q183" s="61"/>
    </x:row>
    <x:row r="184">
      <x:c r="A184" s="61"/>
      <x:c r="B184" s="61"/>
      <x:c r="C184" s="61"/>
      <x:c r="D184" s="61"/>
      <x:c r="E184" s="61"/>
      <x:c r="F184" s="61"/>
      <x:c r="G184" s="61"/>
      <x:c r="H184" s="61"/>
      <x:c r="I184" s="61"/>
      <x:c r="J184" s="61"/>
      <x:c r="K184" s="61"/>
      <x:c r="L184" s="61"/>
      <x:c r="M184" s="61"/>
      <x:c r="N184" s="61"/>
      <x:c r="O184" s="61"/>
      <x:c r="P184" s="61"/>
      <x:c r="Q184" s="61"/>
    </x:row>
    <x:row r="185">
      <x:c r="A185" s="61"/>
      <x:c r="B185" s="61"/>
      <x:c r="C185" s="61"/>
      <x:c r="D185" s="61"/>
      <x:c r="E185" s="61"/>
      <x:c r="F185" s="61"/>
      <x:c r="G185" s="61"/>
      <x:c r="H185" s="61"/>
      <x:c r="I185" s="61"/>
      <x:c r="J185" s="61"/>
      <x:c r="K185" s="61"/>
      <x:c r="L185" s="61"/>
      <x:c r="M185" s="61"/>
      <x:c r="N185" s="61"/>
      <x:c r="O185" s="61"/>
      <x:c r="P185" s="61"/>
      <x:c r="Q185" s="61"/>
    </x:row>
    <x:row r="186">
      <x:c r="A186" s="61"/>
      <x:c r="B186" s="61"/>
      <x:c r="C186" s="61"/>
      <x:c r="D186" s="61"/>
      <x:c r="E186" s="61"/>
      <x:c r="F186" s="61"/>
      <x:c r="G186" s="61"/>
      <x:c r="H186" s="61"/>
      <x:c r="I186" s="61"/>
      <x:c r="J186" s="61"/>
      <x:c r="K186" s="61"/>
      <x:c r="L186" s="61"/>
      <x:c r="M186" s="61"/>
      <x:c r="N186" s="61"/>
      <x:c r="O186" s="61"/>
      <x:c r="P186" s="61"/>
      <x:c r="Q186" s="61"/>
    </x:row>
    <x:row r="187">
      <x:c r="A187" s="61"/>
      <x:c r="B187" s="61"/>
      <x:c r="C187" s="61"/>
      <x:c r="D187" s="61"/>
      <x:c r="E187" s="61"/>
      <x:c r="F187" s="61"/>
      <x:c r="G187" s="61"/>
      <x:c r="H187" s="61"/>
      <x:c r="I187" s="61"/>
      <x:c r="J187" s="61"/>
      <x:c r="K187" s="61"/>
      <x:c r="L187" s="61"/>
      <x:c r="M187" s="61"/>
      <x:c r="N187" s="61"/>
      <x:c r="O187" s="61"/>
      <x:c r="P187" s="61"/>
      <x:c r="Q187" s="61"/>
    </x:row>
    <x:row r="188">
      <x:c r="A188" s="61"/>
      <x:c r="B188" s="61"/>
      <x:c r="C188" s="61"/>
      <x:c r="D188" s="61"/>
      <x:c r="E188" s="61"/>
      <x:c r="F188" s="61"/>
      <x:c r="G188" s="61"/>
      <x:c r="H188" s="61"/>
      <x:c r="I188" s="61"/>
      <x:c r="J188" s="61"/>
      <x:c r="K188" s="61"/>
      <x:c r="L188" s="61"/>
      <x:c r="M188" s="61"/>
      <x:c r="N188" s="61"/>
      <x:c r="O188" s="61"/>
      <x:c r="P188" s="61"/>
      <x:c r="Q188" s="61"/>
    </x:row>
    <x:row r="189">
      <x:c r="A189" s="61"/>
      <x:c r="B189" s="61"/>
      <x:c r="C189" s="61"/>
      <x:c r="D189" s="61"/>
      <x:c r="E189" s="61"/>
      <x:c r="F189" s="61"/>
      <x:c r="G189" s="61"/>
      <x:c r="H189" s="61"/>
      <x:c r="I189" s="61"/>
      <x:c r="J189" s="61"/>
      <x:c r="K189" s="61"/>
      <x:c r="L189" s="61"/>
      <x:c r="M189" s="61"/>
      <x:c r="N189" s="61"/>
      <x:c r="O189" s="61"/>
      <x:c r="P189" s="61"/>
      <x:c r="Q189" s="61"/>
    </x:row>
    <x:row r="190">
      <x:c r="A190" s="61"/>
      <x:c r="B190" s="61"/>
      <x:c r="C190" s="61"/>
      <x:c r="D190" s="61"/>
      <x:c r="E190" s="61"/>
      <x:c r="F190" s="61"/>
      <x:c r="G190" s="61"/>
      <x:c r="H190" s="61"/>
      <x:c r="I190" s="61"/>
      <x:c r="J190" s="61"/>
      <x:c r="K190" s="61"/>
      <x:c r="L190" s="61"/>
      <x:c r="M190" s="61"/>
      <x:c r="N190" s="61"/>
      <x:c r="O190" s="61"/>
      <x:c r="P190" s="61"/>
      <x:c r="Q190" s="61"/>
    </x:row>
    <x:row r="191">
      <x:c r="A191" s="61"/>
      <x:c r="B191" s="61"/>
      <x:c r="C191" s="61"/>
      <x:c r="D191" s="61"/>
      <x:c r="E191" s="61"/>
      <x:c r="F191" s="61"/>
      <x:c r="G191" s="61"/>
      <x:c r="H191" s="61"/>
      <x:c r="I191" s="61"/>
      <x:c r="J191" s="61"/>
      <x:c r="K191" s="61"/>
      <x:c r="L191" s="61"/>
      <x:c r="M191" s="61"/>
      <x:c r="N191" s="61"/>
      <x:c r="O191" s="61"/>
      <x:c r="P191" s="61"/>
      <x:c r="Q191" s="61"/>
    </x:row>
    <x:row r="192">
      <x:c r="A192" s="61"/>
      <x:c r="B192" s="61"/>
      <x:c r="C192" s="61"/>
      <x:c r="D192" s="61"/>
      <x:c r="E192" s="61"/>
      <x:c r="F192" s="61"/>
      <x:c r="G192" s="61"/>
      <x:c r="H192" s="61"/>
      <x:c r="I192" s="61"/>
      <x:c r="J192" s="61"/>
      <x:c r="K192" s="61"/>
      <x:c r="L192" s="61"/>
      <x:c r="M192" s="61"/>
      <x:c r="N192" s="61"/>
      <x:c r="O192" s="61"/>
      <x:c r="P192" s="61"/>
      <x:c r="Q192" s="61"/>
    </x:row>
    <x:row r="193">
      <x:c r="A193" s="61"/>
      <x:c r="B193" s="61"/>
      <x:c r="C193" s="61"/>
      <x:c r="D193" s="61"/>
      <x:c r="E193" s="61"/>
      <x:c r="F193" s="61"/>
      <x:c r="G193" s="61"/>
      <x:c r="H193" s="61"/>
      <x:c r="I193" s="61"/>
      <x:c r="J193" s="61"/>
      <x:c r="K193" s="61"/>
      <x:c r="L193" s="61"/>
      <x:c r="M193" s="61"/>
      <x:c r="N193" s="61"/>
      <x:c r="O193" s="61"/>
      <x:c r="P193" s="61"/>
      <x:c r="Q193" s="61"/>
    </x:row>
    <x:row r="194">
      <x:c r="A194" s="61"/>
      <x:c r="B194" s="61"/>
      <x:c r="C194" s="61"/>
      <x:c r="D194" s="61"/>
      <x:c r="E194" s="61"/>
      <x:c r="F194" s="61"/>
      <x:c r="G194" s="61"/>
      <x:c r="H194" s="61"/>
      <x:c r="I194" s="61"/>
      <x:c r="J194" s="61"/>
      <x:c r="K194" s="61"/>
      <x:c r="L194" s="61"/>
      <x:c r="M194" s="61"/>
      <x:c r="N194" s="61"/>
      <x:c r="O194" s="61"/>
      <x:c r="P194" s="61"/>
      <x:c r="Q194" s="61"/>
    </x:row>
    <x:row r="195">
      <x:c r="A195" s="61"/>
      <x:c r="B195" s="61"/>
      <x:c r="C195" s="61"/>
      <x:c r="D195" s="61"/>
      <x:c r="E195" s="61"/>
      <x:c r="F195" s="61"/>
      <x:c r="G195" s="61"/>
      <x:c r="H195" s="61"/>
      <x:c r="I195" s="61"/>
      <x:c r="J195" s="61"/>
      <x:c r="K195" s="61"/>
      <x:c r="L195" s="61"/>
      <x:c r="M195" s="61"/>
      <x:c r="N195" s="61"/>
      <x:c r="O195" s="61"/>
      <x:c r="P195" s="61"/>
      <x:c r="Q195" s="61"/>
    </x:row>
    <x:row r="196">
      <x:c r="A196" s="61"/>
      <x:c r="B196" s="61"/>
      <x:c r="C196" s="61"/>
      <x:c r="D196" s="61"/>
      <x:c r="E196" s="61"/>
      <x:c r="F196" s="61"/>
      <x:c r="G196" s="61"/>
      <x:c r="H196" s="61"/>
      <x:c r="I196" s="61"/>
      <x:c r="J196" s="61"/>
      <x:c r="K196" s="61"/>
      <x:c r="L196" s="61"/>
      <x:c r="M196" s="61"/>
      <x:c r="N196" s="61"/>
      <x:c r="O196" s="61"/>
      <x:c r="P196" s="61"/>
      <x:c r="Q196" s="61"/>
    </x:row>
    <x:row r="197">
      <x:c r="A197" s="61"/>
      <x:c r="B197" s="61"/>
      <x:c r="C197" s="61"/>
      <x:c r="D197" s="61"/>
      <x:c r="E197" s="61"/>
      <x:c r="F197" s="61"/>
      <x:c r="G197" s="61"/>
      <x:c r="H197" s="61"/>
      <x:c r="I197" s="61"/>
      <x:c r="J197" s="61"/>
      <x:c r="K197" s="61"/>
      <x:c r="L197" s="61"/>
      <x:c r="M197" s="61"/>
      <x:c r="N197" s="61"/>
      <x:c r="O197" s="61"/>
      <x:c r="P197" s="61"/>
      <x:c r="Q197" s="61"/>
    </x:row>
    <x:row r="198">
      <x:c r="A198" s="61"/>
      <x:c r="B198" s="61"/>
      <x:c r="C198" s="61"/>
      <x:c r="D198" s="61"/>
      <x:c r="E198" s="61"/>
      <x:c r="F198" s="61"/>
      <x:c r="G198" s="61"/>
      <x:c r="H198" s="61"/>
      <x:c r="I198" s="61"/>
      <x:c r="J198" s="61"/>
      <x:c r="K198" s="61"/>
      <x:c r="L198" s="61"/>
      <x:c r="M198" s="61"/>
      <x:c r="N198" s="61"/>
      <x:c r="O198" s="61"/>
      <x:c r="P198" s="61"/>
      <x:c r="Q198" s="61"/>
    </x:row>
    <x:row r="199">
      <x:c r="A199" s="61"/>
      <x:c r="B199" s="61"/>
      <x:c r="C199" s="61"/>
      <x:c r="D199" s="61"/>
      <x:c r="E199" s="61"/>
      <x:c r="F199" s="61"/>
      <x:c r="G199" s="61"/>
      <x:c r="H199" s="61"/>
      <x:c r="I199" s="61"/>
      <x:c r="J199" s="61"/>
      <x:c r="K199" s="61"/>
      <x:c r="L199" s="61"/>
      <x:c r="M199" s="61"/>
      <x:c r="N199" s="61"/>
      <x:c r="O199" s="61"/>
      <x:c r="P199" s="61"/>
      <x:c r="Q199" s="61"/>
    </x:row>
    <x:row r="200">
      <x:c r="A200" s="61"/>
      <x:c r="B200" s="61"/>
      <x:c r="C200" s="61"/>
      <x:c r="D200" s="61"/>
      <x:c r="E200" s="61"/>
      <x:c r="F200" s="61"/>
      <x:c r="G200" s="61"/>
      <x:c r="H200" s="61"/>
      <x:c r="I200" s="61"/>
      <x:c r="J200" s="61"/>
      <x:c r="K200" s="61"/>
      <x:c r="L200" s="61"/>
      <x:c r="M200" s="61"/>
      <x:c r="N200" s="61"/>
      <x:c r="O200" s="61"/>
      <x:c r="P200" s="61"/>
      <x:c r="Q200" s="61"/>
    </x:row>
    <x:row r="201">
      <x:c r="A201" s="61"/>
      <x:c r="B201" s="61"/>
      <x:c r="C201" s="61"/>
      <x:c r="D201" s="61"/>
      <x:c r="E201" s="61"/>
      <x:c r="F201" s="61"/>
      <x:c r="G201" s="61"/>
      <x:c r="H201" s="61"/>
      <x:c r="I201" s="61"/>
      <x:c r="J201" s="61"/>
      <x:c r="K201" s="61"/>
      <x:c r="L201" s="61"/>
      <x:c r="M201" s="61"/>
      <x:c r="N201" s="61"/>
      <x:c r="O201" s="61"/>
      <x:c r="P201" s="61"/>
      <x:c r="Q201" s="61"/>
    </x:row>
    <x:row r="202">
      <x:c r="A202" s="61"/>
      <x:c r="B202" s="61"/>
      <x:c r="C202" s="61"/>
      <x:c r="D202" s="61"/>
      <x:c r="E202" s="61"/>
      <x:c r="F202" s="61"/>
      <x:c r="G202" s="61"/>
      <x:c r="H202" s="61"/>
      <x:c r="I202" s="61"/>
      <x:c r="J202" s="61"/>
      <x:c r="K202" s="61"/>
      <x:c r="L202" s="61"/>
      <x:c r="M202" s="61"/>
      <x:c r="N202" s="61"/>
      <x:c r="O202" s="61"/>
      <x:c r="P202" s="61"/>
      <x:c r="Q202" s="61"/>
    </x:row>
    <x:row r="203">
      <x:c r="A203" s="61"/>
      <x:c r="B203" s="61"/>
      <x:c r="C203" s="61"/>
      <x:c r="D203" s="61"/>
      <x:c r="E203" s="61"/>
      <x:c r="F203" s="61"/>
      <x:c r="G203" s="61"/>
      <x:c r="H203" s="61"/>
      <x:c r="I203" s="61"/>
      <x:c r="J203" s="61"/>
      <x:c r="K203" s="61"/>
      <x:c r="L203" s="61"/>
      <x:c r="M203" s="61"/>
      <x:c r="N203" s="61"/>
      <x:c r="O203" s="61"/>
      <x:c r="P203" s="61"/>
      <x:c r="Q203" s="61"/>
    </x:row>
    <x:row r="204">
      <x:c r="A204" s="61"/>
      <x:c r="B204" s="61"/>
      <x:c r="C204" s="61"/>
      <x:c r="D204" s="61"/>
      <x:c r="E204" s="61"/>
      <x:c r="F204" s="61"/>
      <x:c r="G204" s="61"/>
      <x:c r="H204" s="61"/>
      <x:c r="I204" s="61"/>
      <x:c r="J204" s="61"/>
      <x:c r="K204" s="61"/>
      <x:c r="L204" s="61"/>
      <x:c r="M204" s="61"/>
      <x:c r="N204" s="61"/>
      <x:c r="O204" s="61"/>
      <x:c r="P204" s="61"/>
      <x:c r="Q204" s="61"/>
    </x:row>
    <x:row r="205">
      <x:c r="A205" s="61"/>
      <x:c r="B205" s="61"/>
      <x:c r="C205" s="61"/>
      <x:c r="D205" s="61"/>
      <x:c r="E205" s="61"/>
      <x:c r="F205" s="61"/>
      <x:c r="G205" s="61"/>
      <x:c r="H205" s="61"/>
      <x:c r="I205" s="61"/>
      <x:c r="J205" s="61"/>
      <x:c r="K205" s="61"/>
      <x:c r="L205" s="61"/>
      <x:c r="M205" s="61"/>
      <x:c r="N205" s="61"/>
      <x:c r="O205" s="61"/>
      <x:c r="P205" s="61"/>
      <x:c r="Q205" s="61"/>
    </x:row>
    <x:row r="206">
      <x:c r="A206" s="61"/>
      <x:c r="B206" s="61"/>
      <x:c r="C206" s="61"/>
      <x:c r="D206" s="61"/>
      <x:c r="E206" s="61"/>
      <x:c r="F206" s="61"/>
      <x:c r="G206" s="61"/>
      <x:c r="H206" s="61"/>
      <x:c r="I206" s="61"/>
      <x:c r="J206" s="61"/>
      <x:c r="K206" s="61"/>
      <x:c r="L206" s="61"/>
      <x:c r="M206" s="61"/>
      <x:c r="N206" s="61"/>
      <x:c r="O206" s="61"/>
      <x:c r="P206" s="61"/>
      <x:c r="Q206" s="61"/>
    </x:row>
    <x:row r="207">
      <x:c r="A207" s="61"/>
      <x:c r="B207" s="61"/>
      <x:c r="C207" s="61"/>
      <x:c r="D207" s="61"/>
      <x:c r="E207" s="61"/>
      <x:c r="F207" s="61"/>
      <x:c r="G207" s="61"/>
      <x:c r="H207" s="61"/>
      <x:c r="I207" s="61"/>
      <x:c r="J207" s="61"/>
      <x:c r="K207" s="61"/>
      <x:c r="L207" s="61"/>
      <x:c r="M207" s="61"/>
      <x:c r="N207" s="61"/>
      <x:c r="O207" s="61"/>
      <x:c r="P207" s="61"/>
      <x:c r="Q207" s="61"/>
    </x:row>
    <x:row r="208">
      <x:c r="A208" s="61"/>
      <x:c r="B208" s="61"/>
      <x:c r="C208" s="61"/>
      <x:c r="D208" s="61"/>
      <x:c r="E208" s="61"/>
      <x:c r="F208" s="61"/>
      <x:c r="G208" s="61"/>
      <x:c r="H208" s="61"/>
      <x:c r="I208" s="61"/>
      <x:c r="J208" s="61"/>
      <x:c r="K208" s="61"/>
      <x:c r="L208" s="61"/>
      <x:c r="M208" s="61"/>
      <x:c r="N208" s="61"/>
      <x:c r="O208" s="61"/>
      <x:c r="P208" s="61"/>
      <x:c r="Q208" s="61"/>
    </x:row>
    <x:row r="209">
      <x:c r="A209" s="61"/>
      <x:c r="B209" s="61"/>
      <x:c r="C209" s="61"/>
      <x:c r="D209" s="61"/>
      <x:c r="E209" s="61"/>
      <x:c r="F209" s="61"/>
      <x:c r="G209" s="61"/>
      <x:c r="H209" s="61"/>
      <x:c r="I209" s="61"/>
      <x:c r="J209" s="61"/>
      <x:c r="K209" s="61"/>
      <x:c r="L209" s="61"/>
      <x:c r="M209" s="61"/>
      <x:c r="N209" s="61"/>
      <x:c r="O209" s="61"/>
      <x:c r="P209" s="61"/>
      <x:c r="Q209" s="61"/>
    </x:row>
    <x:row r="210">
      <x:c r="A210" s="61"/>
      <x:c r="B210" s="61"/>
      <x:c r="C210" s="61"/>
      <x:c r="D210" s="61"/>
      <x:c r="E210" s="61"/>
      <x:c r="F210" s="61"/>
      <x:c r="G210" s="61"/>
      <x:c r="H210" s="61"/>
      <x:c r="I210" s="61"/>
      <x:c r="J210" s="61"/>
      <x:c r="K210" s="61"/>
      <x:c r="L210" s="61"/>
      <x:c r="M210" s="61"/>
      <x:c r="N210" s="61"/>
      <x:c r="O210" s="61"/>
      <x:c r="P210" s="61"/>
      <x:c r="Q210" s="61"/>
    </x:row>
    <x:row r="211">
      <x:c r="A211" s="61"/>
      <x:c r="B211" s="61"/>
      <x:c r="C211" s="61"/>
      <x:c r="D211" s="61"/>
      <x:c r="E211" s="61"/>
      <x:c r="F211" s="61"/>
      <x:c r="G211" s="61"/>
      <x:c r="H211" s="61"/>
      <x:c r="I211" s="61"/>
      <x:c r="J211" s="61"/>
      <x:c r="K211" s="61"/>
      <x:c r="L211" s="61"/>
      <x:c r="M211" s="61"/>
      <x:c r="N211" s="61"/>
      <x:c r="O211" s="61"/>
      <x:c r="P211" s="61"/>
      <x:c r="Q211" s="61"/>
    </x:row>
    <x:row r="212">
      <x:c r="A212" s="61"/>
      <x:c r="B212" s="61"/>
      <x:c r="C212" s="61"/>
      <x:c r="D212" s="61"/>
      <x:c r="E212" s="61"/>
      <x:c r="F212" s="61"/>
      <x:c r="G212" s="61"/>
      <x:c r="H212" s="61"/>
      <x:c r="I212" s="61"/>
      <x:c r="J212" s="61"/>
      <x:c r="K212" s="61"/>
      <x:c r="L212" s="61"/>
      <x:c r="M212" s="61"/>
      <x:c r="N212" s="61"/>
      <x:c r="O212" s="61"/>
      <x:c r="P212" s="61"/>
      <x:c r="Q212" s="61"/>
    </x:row>
    <x:row r="213">
      <x:c r="A213" s="61"/>
      <x:c r="B213" s="61"/>
      <x:c r="C213" s="61"/>
      <x:c r="D213" s="61"/>
      <x:c r="E213" s="61"/>
      <x:c r="F213" s="61"/>
      <x:c r="G213" s="61"/>
      <x:c r="H213" s="61"/>
      <x:c r="I213" s="61"/>
      <x:c r="J213" s="61"/>
      <x:c r="K213" s="61"/>
      <x:c r="L213" s="61"/>
      <x:c r="M213" s="61"/>
      <x:c r="N213" s="61"/>
      <x:c r="O213" s="61"/>
      <x:c r="P213" s="61"/>
      <x:c r="Q213" s="61"/>
    </x:row>
    <x:row r="214">
      <x:c r="A214" s="61"/>
      <x:c r="B214" s="61"/>
      <x:c r="C214" s="61"/>
      <x:c r="D214" s="61"/>
      <x:c r="E214" s="61"/>
      <x:c r="F214" s="61"/>
      <x:c r="G214" s="61"/>
      <x:c r="H214" s="61"/>
      <x:c r="I214" s="61"/>
      <x:c r="J214" s="61"/>
      <x:c r="K214" s="61"/>
      <x:c r="L214" s="61"/>
      <x:c r="M214" s="61"/>
      <x:c r="N214" s="61"/>
      <x:c r="O214" s="61"/>
      <x:c r="P214" s="61"/>
      <x:c r="Q214" s="61"/>
    </x:row>
    <x:row r="215">
      <x:c r="A215" s="61"/>
      <x:c r="B215" s="61"/>
      <x:c r="C215" s="61"/>
      <x:c r="D215" s="61"/>
      <x:c r="E215" s="61"/>
      <x:c r="F215" s="61"/>
      <x:c r="G215" s="61"/>
      <x:c r="H215" s="61"/>
      <x:c r="I215" s="61"/>
      <x:c r="J215" s="61"/>
      <x:c r="K215" s="61"/>
      <x:c r="L215" s="61"/>
      <x:c r="M215" s="61"/>
      <x:c r="N215" s="61"/>
      <x:c r="O215" s="61"/>
      <x:c r="P215" s="61"/>
      <x:c r="Q215" s="61"/>
    </x:row>
    <x:row r="216">
      <x:c r="A216" s="61"/>
      <x:c r="B216" s="61"/>
      <x:c r="C216" s="61"/>
      <x:c r="D216" s="61"/>
      <x:c r="E216" s="61"/>
      <x:c r="F216" s="61"/>
      <x:c r="G216" s="61"/>
      <x:c r="H216" s="61"/>
      <x:c r="I216" s="61"/>
      <x:c r="J216" s="61"/>
      <x:c r="K216" s="61"/>
      <x:c r="L216" s="61"/>
      <x:c r="M216" s="61"/>
      <x:c r="N216" s="61"/>
      <x:c r="O216" s="61"/>
      <x:c r="P216" s="61"/>
      <x:c r="Q216" s="61"/>
    </x:row>
    <x:row r="217">
      <x:c r="A217" s="61"/>
      <x:c r="B217" s="61"/>
      <x:c r="C217" s="61"/>
      <x:c r="D217" s="61"/>
      <x:c r="E217" s="61"/>
      <x:c r="F217" s="61"/>
      <x:c r="G217" s="61"/>
      <x:c r="H217" s="61"/>
      <x:c r="I217" s="61"/>
      <x:c r="J217" s="61"/>
      <x:c r="K217" s="61"/>
      <x:c r="L217" s="61"/>
      <x:c r="M217" s="61"/>
      <x:c r="N217" s="61"/>
      <x:c r="O217" s="61"/>
      <x:c r="P217" s="61"/>
      <x:c r="Q217" s="61"/>
    </x:row>
    <x:row r="218">
      <x:c r="A218" s="61"/>
      <x:c r="B218" s="61"/>
      <x:c r="C218" s="61"/>
      <x:c r="D218" s="61"/>
      <x:c r="E218" s="61"/>
      <x:c r="F218" s="61"/>
      <x:c r="G218" s="61"/>
      <x:c r="H218" s="61"/>
      <x:c r="I218" s="61"/>
      <x:c r="J218" s="61"/>
      <x:c r="K218" s="61"/>
      <x:c r="L218" s="61"/>
      <x:c r="M218" s="61"/>
      <x:c r="N218" s="61"/>
      <x:c r="O218" s="61"/>
      <x:c r="P218" s="61"/>
      <x:c r="Q218" s="61"/>
    </x:row>
    <x:row r="219">
      <x:c r="A219" s="61"/>
      <x:c r="B219" s="61"/>
      <x:c r="C219" s="61"/>
      <x:c r="D219" s="61"/>
      <x:c r="E219" s="61"/>
      <x:c r="F219" s="61"/>
      <x:c r="G219" s="61"/>
      <x:c r="H219" s="61"/>
      <x:c r="I219" s="61"/>
      <x:c r="J219" s="61"/>
      <x:c r="K219" s="61"/>
      <x:c r="L219" s="61"/>
      <x:c r="M219" s="61"/>
      <x:c r="N219" s="61"/>
      <x:c r="O219" s="61"/>
      <x:c r="P219" s="61"/>
      <x:c r="Q219" s="61"/>
    </x:row>
    <x:row r="220">
      <x:c r="A220" s="61"/>
      <x:c r="B220" s="61"/>
      <x:c r="C220" s="61"/>
      <x:c r="D220" s="61"/>
      <x:c r="E220" s="61"/>
      <x:c r="F220" s="61"/>
      <x:c r="G220" s="61"/>
      <x:c r="H220" s="61"/>
      <x:c r="I220" s="61"/>
      <x:c r="J220" s="61"/>
      <x:c r="K220" s="61"/>
      <x:c r="L220" s="61"/>
      <x:c r="M220" s="61"/>
      <x:c r="N220" s="61"/>
      <x:c r="O220" s="61"/>
      <x:c r="P220" s="61"/>
      <x:c r="Q220" s="61"/>
    </x:row>
    <x:row r="221">
      <x:c r="A221" s="61"/>
      <x:c r="B221" s="61"/>
      <x:c r="C221" s="61"/>
      <x:c r="D221" s="61"/>
      <x:c r="E221" s="61"/>
      <x:c r="F221" s="61"/>
      <x:c r="G221" s="61"/>
      <x:c r="H221" s="61"/>
      <x:c r="I221" s="61"/>
      <x:c r="J221" s="61"/>
      <x:c r="K221" s="61"/>
      <x:c r="L221" s="61"/>
      <x:c r="M221" s="61"/>
      <x:c r="N221" s="61"/>
      <x:c r="O221" s="61"/>
      <x:c r="P221" s="61"/>
      <x:c r="Q221" s="61"/>
    </x:row>
    <x:row r="222">
      <x:c r="A222" s="61"/>
      <x:c r="B222" s="61"/>
      <x:c r="C222" s="61"/>
      <x:c r="D222" s="61"/>
      <x:c r="E222" s="61"/>
      <x:c r="F222" s="61"/>
      <x:c r="G222" s="61"/>
      <x:c r="H222" s="61"/>
      <x:c r="I222" s="61"/>
      <x:c r="J222" s="61"/>
      <x:c r="K222" s="61"/>
      <x:c r="L222" s="61"/>
      <x:c r="M222" s="61"/>
      <x:c r="N222" s="61"/>
      <x:c r="O222" s="61"/>
      <x:c r="P222" s="61"/>
      <x:c r="Q222" s="61"/>
    </x:row>
    <x:row r="223">
      <x:c r="A223" s="61"/>
      <x:c r="B223" s="61"/>
      <x:c r="C223" s="61"/>
      <x:c r="D223" s="61"/>
      <x:c r="E223" s="61"/>
      <x:c r="F223" s="61"/>
      <x:c r="G223" s="61"/>
      <x:c r="H223" s="61"/>
      <x:c r="I223" s="61"/>
      <x:c r="J223" s="61"/>
      <x:c r="K223" s="61"/>
      <x:c r="L223" s="61"/>
      <x:c r="M223" s="61"/>
      <x:c r="N223" s="61"/>
      <x:c r="O223" s="61"/>
      <x:c r="P223" s="61"/>
      <x:c r="Q223" s="61"/>
    </x:row>
    <x:row r="224">
      <x:c r="A224" s="61"/>
      <x:c r="B224" s="61"/>
      <x:c r="C224" s="61"/>
      <x:c r="D224" s="61"/>
      <x:c r="E224" s="61"/>
      <x:c r="F224" s="61"/>
      <x:c r="G224" s="61"/>
      <x:c r="H224" s="61"/>
      <x:c r="I224" s="61"/>
      <x:c r="J224" s="61"/>
      <x:c r="K224" s="61"/>
      <x:c r="L224" s="61"/>
      <x:c r="M224" s="61"/>
      <x:c r="N224" s="61"/>
      <x:c r="O224" s="61"/>
      <x:c r="P224" s="61"/>
      <x:c r="Q224" s="61"/>
    </x:row>
    <x:row r="225">
      <x:c r="A225" s="61"/>
      <x:c r="B225" s="61"/>
      <x:c r="C225" s="61"/>
      <x:c r="D225" s="61"/>
      <x:c r="E225" s="61"/>
      <x:c r="F225" s="61"/>
      <x:c r="G225" s="61"/>
      <x:c r="H225" s="61"/>
      <x:c r="I225" s="61"/>
      <x:c r="J225" s="61"/>
      <x:c r="K225" s="61"/>
      <x:c r="L225" s="61"/>
      <x:c r="M225" s="61"/>
      <x:c r="N225" s="61"/>
      <x:c r="O225" s="61"/>
      <x:c r="P225" s="61"/>
      <x:c r="Q225" s="61"/>
    </x:row>
    <x:row r="226">
      <x:c r="A226" s="61"/>
      <x:c r="B226" s="61"/>
      <x:c r="C226" s="61"/>
      <x:c r="D226" s="61"/>
      <x:c r="E226" s="61"/>
      <x:c r="F226" s="61"/>
      <x:c r="G226" s="61"/>
      <x:c r="H226" s="61"/>
      <x:c r="I226" s="61"/>
      <x:c r="J226" s="61"/>
      <x:c r="K226" s="61"/>
      <x:c r="L226" s="61"/>
      <x:c r="M226" s="61"/>
      <x:c r="N226" s="61"/>
      <x:c r="O226" s="61"/>
      <x:c r="P226" s="61"/>
      <x:c r="Q226" s="61"/>
    </x:row>
    <x:row r="227">
      <x:c r="A227" s="61"/>
      <x:c r="B227" s="61"/>
      <x:c r="C227" s="61"/>
      <x:c r="D227" s="61"/>
      <x:c r="E227" s="61"/>
      <x:c r="F227" s="61"/>
      <x:c r="G227" s="61"/>
      <x:c r="H227" s="61"/>
      <x:c r="I227" s="61"/>
      <x:c r="J227" s="61"/>
      <x:c r="K227" s="61"/>
      <x:c r="L227" s="61"/>
      <x:c r="M227" s="61"/>
      <x:c r="N227" s="61"/>
      <x:c r="O227" s="61"/>
      <x:c r="P227" s="61"/>
      <x:c r="Q227" s="61"/>
    </x:row>
    <x:row r="228">
      <x:c r="A228" s="61"/>
      <x:c r="B228" s="61"/>
      <x:c r="C228" s="61"/>
      <x:c r="D228" s="61"/>
      <x:c r="E228" s="61"/>
      <x:c r="F228" s="61"/>
      <x:c r="G228" s="61"/>
      <x:c r="H228" s="61"/>
      <x:c r="I228" s="61"/>
      <x:c r="J228" s="61"/>
      <x:c r="K228" s="61"/>
      <x:c r="L228" s="61"/>
      <x:c r="M228" s="61"/>
      <x:c r="N228" s="61"/>
      <x:c r="O228" s="61"/>
      <x:c r="P228" s="61"/>
      <x:c r="Q228" s="61"/>
    </x:row>
    <x:row r="229">
      <x:c r="A229" s="61"/>
      <x:c r="B229" s="61"/>
      <x:c r="C229" s="61"/>
      <x:c r="D229" s="61"/>
      <x:c r="E229" s="61"/>
      <x:c r="F229" s="61"/>
      <x:c r="G229" s="61"/>
      <x:c r="H229" s="61"/>
      <x:c r="I229" s="61"/>
      <x:c r="J229" s="61"/>
      <x:c r="K229" s="61"/>
      <x:c r="L229" s="61"/>
      <x:c r="M229" s="61"/>
      <x:c r="N229" s="61"/>
      <x:c r="O229" s="61"/>
      <x:c r="P229" s="61"/>
      <x:c r="Q229" s="61"/>
    </x:row>
    <x:row r="230">
      <x:c r="A230" s="61"/>
      <x:c r="B230" s="61"/>
      <x:c r="C230" s="61"/>
      <x:c r="D230" s="61"/>
      <x:c r="E230" s="61"/>
      <x:c r="F230" s="61"/>
      <x:c r="G230" s="61"/>
      <x:c r="H230" s="61"/>
      <x:c r="I230" s="61"/>
      <x:c r="J230" s="61"/>
      <x:c r="K230" s="61"/>
      <x:c r="L230" s="61"/>
      <x:c r="M230" s="61"/>
      <x:c r="N230" s="61"/>
      <x:c r="O230" s="61"/>
      <x:c r="P230" s="61"/>
      <x:c r="Q230" s="61"/>
    </x:row>
    <x:row r="231">
      <x:c r="A231" s="61"/>
      <x:c r="B231" s="61"/>
      <x:c r="C231" s="61"/>
      <x:c r="D231" s="61"/>
      <x:c r="E231" s="61"/>
      <x:c r="F231" s="61"/>
      <x:c r="G231" s="61"/>
      <x:c r="H231" s="61"/>
      <x:c r="I231" s="61"/>
      <x:c r="J231" s="61"/>
      <x:c r="K231" s="61"/>
      <x:c r="L231" s="61"/>
      <x:c r="M231" s="61"/>
      <x:c r="N231" s="61"/>
      <x:c r="O231" s="61"/>
      <x:c r="P231" s="61"/>
      <x:c r="Q231" s="61"/>
    </x:row>
    <x:row r="232">
      <x:c r="A232" s="61"/>
      <x:c r="B232" s="61"/>
      <x:c r="C232" s="61"/>
      <x:c r="D232" s="61"/>
      <x:c r="E232" s="61"/>
      <x:c r="F232" s="61"/>
      <x:c r="G232" s="61"/>
      <x:c r="H232" s="61"/>
      <x:c r="I232" s="61"/>
      <x:c r="J232" s="61"/>
      <x:c r="K232" s="61"/>
      <x:c r="L232" s="61"/>
      <x:c r="M232" s="61"/>
      <x:c r="N232" s="61"/>
      <x:c r="O232" s="61"/>
      <x:c r="P232" s="61"/>
      <x:c r="Q232" s="61"/>
    </x:row>
    <x:row r="233">
      <x:c r="A233" s="61"/>
      <x:c r="B233" s="61"/>
      <x:c r="C233" s="61"/>
      <x:c r="D233" s="61"/>
      <x:c r="E233" s="61"/>
      <x:c r="F233" s="61"/>
      <x:c r="G233" s="61"/>
      <x:c r="H233" s="61"/>
      <x:c r="I233" s="61"/>
      <x:c r="J233" s="61"/>
      <x:c r="K233" s="61"/>
      <x:c r="L233" s="61"/>
      <x:c r="M233" s="61"/>
      <x:c r="N233" s="61"/>
      <x:c r="O233" s="61"/>
      <x:c r="P233" s="61"/>
      <x:c r="Q233" s="61"/>
    </x:row>
    <x:row r="234">
      <x:c r="A234" s="61"/>
      <x:c r="B234" s="61"/>
      <x:c r="C234" s="61"/>
      <x:c r="D234" s="61"/>
      <x:c r="E234" s="61"/>
      <x:c r="F234" s="61"/>
      <x:c r="G234" s="61"/>
      <x:c r="H234" s="61"/>
      <x:c r="I234" s="61"/>
      <x:c r="J234" s="61"/>
      <x:c r="K234" s="61"/>
      <x:c r="L234" s="61"/>
      <x:c r="M234" s="61"/>
      <x:c r="N234" s="61"/>
      <x:c r="O234" s="61"/>
      <x:c r="P234" s="61"/>
      <x:c r="Q234" s="61"/>
    </x:row>
    <x:row r="235">
      <x:c r="A235" s="61"/>
      <x:c r="B235" s="61"/>
      <x:c r="C235" s="61"/>
      <x:c r="D235" s="61"/>
      <x:c r="E235" s="61"/>
      <x:c r="F235" s="61"/>
      <x:c r="G235" s="61"/>
      <x:c r="H235" s="61"/>
      <x:c r="I235" s="61"/>
      <x:c r="J235" s="61"/>
      <x:c r="K235" s="61"/>
      <x:c r="L235" s="61"/>
      <x:c r="M235" s="61"/>
      <x:c r="N235" s="61"/>
      <x:c r="O235" s="61"/>
      <x:c r="P235" s="61"/>
      <x:c r="Q235" s="61"/>
    </x:row>
    <x:row r="236">
      <x:c r="A236" s="61"/>
      <x:c r="B236" s="61"/>
      <x:c r="C236" s="61"/>
      <x:c r="D236" s="61"/>
      <x:c r="E236" s="61"/>
      <x:c r="F236" s="61"/>
      <x:c r="G236" s="61"/>
      <x:c r="H236" s="61"/>
      <x:c r="I236" s="61"/>
      <x:c r="J236" s="61"/>
      <x:c r="K236" s="61"/>
      <x:c r="L236" s="61"/>
      <x:c r="M236" s="61"/>
      <x:c r="N236" s="61"/>
      <x:c r="O236" s="61"/>
      <x:c r="P236" s="61"/>
      <x:c r="Q236" s="61"/>
    </x:row>
    <x:row r="237">
      <x:c r="A237" s="61"/>
      <x:c r="B237" s="61"/>
      <x:c r="C237" s="61"/>
      <x:c r="D237" s="61"/>
      <x:c r="E237" s="61"/>
      <x:c r="F237" s="61"/>
      <x:c r="G237" s="61"/>
      <x:c r="H237" s="61"/>
      <x:c r="I237" s="61"/>
      <x:c r="J237" s="61"/>
      <x:c r="K237" s="61"/>
      <x:c r="L237" s="61"/>
      <x:c r="M237" s="61"/>
      <x:c r="N237" s="61"/>
      <x:c r="O237" s="61"/>
      <x:c r="P237" s="61"/>
      <x:c r="Q237" s="61"/>
    </x:row>
    <x:row r="238">
      <x:c r="A238" s="61"/>
      <x:c r="B238" s="61"/>
      <x:c r="C238" s="61"/>
      <x:c r="D238" s="61"/>
      <x:c r="E238" s="61"/>
      <x:c r="F238" s="61"/>
      <x:c r="G238" s="61"/>
      <x:c r="H238" s="61"/>
      <x:c r="I238" s="61"/>
      <x:c r="J238" s="61"/>
      <x:c r="K238" s="61"/>
      <x:c r="L238" s="61"/>
      <x:c r="M238" s="61"/>
      <x:c r="N238" s="61"/>
      <x:c r="O238" s="61"/>
      <x:c r="P238" s="61"/>
      <x:c r="Q238" s="61"/>
    </x:row>
    <x:row r="239">
      <x:c r="A239" s="61"/>
      <x:c r="B239" s="61"/>
      <x:c r="C239" s="61"/>
      <x:c r="D239" s="61"/>
      <x:c r="E239" s="61"/>
      <x:c r="F239" s="61"/>
      <x:c r="G239" s="61"/>
      <x:c r="H239" s="61"/>
      <x:c r="I239" s="61"/>
      <x:c r="J239" s="61"/>
      <x:c r="K239" s="61"/>
      <x:c r="L239" s="61"/>
      <x:c r="M239" s="61"/>
      <x:c r="N239" s="61"/>
      <x:c r="O239" s="61"/>
      <x:c r="P239" s="61"/>
      <x:c r="Q239" s="61"/>
    </x:row>
    <x:row r="240">
      <x:c r="A240" s="61"/>
      <x:c r="B240" s="61"/>
      <x:c r="C240" s="61"/>
      <x:c r="D240" s="61"/>
      <x:c r="E240" s="61"/>
      <x:c r="F240" s="61"/>
      <x:c r="G240" s="61"/>
      <x:c r="H240" s="61"/>
      <x:c r="I240" s="61"/>
      <x:c r="J240" s="61"/>
      <x:c r="K240" s="61"/>
      <x:c r="L240" s="61"/>
      <x:c r="M240" s="61"/>
      <x:c r="N240" s="61"/>
      <x:c r="O240" s="61"/>
      <x:c r="P240" s="61"/>
      <x:c r="Q240" s="61"/>
    </x:row>
    <x:row r="241">
      <x:c r="A241" s="61"/>
      <x:c r="B241" s="61"/>
      <x:c r="C241" s="61"/>
      <x:c r="D241" s="61"/>
      <x:c r="E241" s="61"/>
      <x:c r="F241" s="61"/>
      <x:c r="G241" s="61"/>
      <x:c r="H241" s="61"/>
      <x:c r="I241" s="61"/>
      <x:c r="J241" s="61"/>
      <x:c r="K241" s="61"/>
      <x:c r="L241" s="61"/>
      <x:c r="M241" s="61"/>
      <x:c r="N241" s="61"/>
      <x:c r="O241" s="61"/>
      <x:c r="P241" s="61"/>
      <x:c r="Q241" s="61"/>
    </x:row>
    <x:row r="242">
      <x:c r="A242" s="61"/>
      <x:c r="B242" s="61"/>
      <x:c r="C242" s="61"/>
      <x:c r="D242" s="61"/>
      <x:c r="E242" s="61"/>
      <x:c r="F242" s="61"/>
      <x:c r="G242" s="61"/>
      <x:c r="H242" s="61"/>
      <x:c r="I242" s="61"/>
      <x:c r="J242" s="61"/>
      <x:c r="K242" s="61"/>
      <x:c r="L242" s="61"/>
      <x:c r="M242" s="61"/>
      <x:c r="N242" s="61"/>
      <x:c r="O242" s="61"/>
      <x:c r="P242" s="61"/>
      <x:c r="Q242" s="61"/>
    </x:row>
    <x:row r="243">
      <x:c r="A243" s="61"/>
      <x:c r="B243" s="61"/>
      <x:c r="C243" s="61"/>
      <x:c r="D243" s="61"/>
      <x:c r="E243" s="61"/>
      <x:c r="F243" s="61"/>
      <x:c r="G243" s="61"/>
      <x:c r="H243" s="61"/>
      <x:c r="I243" s="61"/>
      <x:c r="J243" s="61"/>
      <x:c r="K243" s="61"/>
      <x:c r="L243" s="61"/>
      <x:c r="M243" s="61"/>
      <x:c r="N243" s="61"/>
      <x:c r="O243" s="61"/>
      <x:c r="P243" s="61"/>
      <x:c r="Q243" s="61"/>
    </x:row>
    <x:row r="244">
      <x:c r="A244" s="61"/>
      <x:c r="B244" s="61"/>
      <x:c r="C244" s="61"/>
      <x:c r="D244" s="61"/>
      <x:c r="E244" s="61"/>
      <x:c r="F244" s="61"/>
      <x:c r="G244" s="61"/>
      <x:c r="H244" s="61"/>
      <x:c r="I244" s="61"/>
      <x:c r="J244" s="61"/>
      <x:c r="K244" s="61"/>
      <x:c r="L244" s="61"/>
      <x:c r="M244" s="61"/>
      <x:c r="N244" s="61"/>
      <x:c r="O244" s="61"/>
      <x:c r="P244" s="61"/>
      <x:c r="Q244" s="61"/>
    </x:row>
    <x:row r="245">
      <x:c r="A245" s="61"/>
      <x:c r="B245" s="61"/>
      <x:c r="C245" s="61"/>
      <x:c r="D245" s="61"/>
      <x:c r="E245" s="61"/>
      <x:c r="F245" s="61"/>
      <x:c r="G245" s="61"/>
      <x:c r="H245" s="61"/>
      <x:c r="I245" s="61"/>
      <x:c r="J245" s="61"/>
      <x:c r="K245" s="61"/>
      <x:c r="L245" s="61"/>
      <x:c r="M245" s="61"/>
      <x:c r="N245" s="61"/>
      <x:c r="O245" s="61"/>
      <x:c r="P245" s="61"/>
      <x:c r="Q245" s="61"/>
    </x:row>
    <x:row r="246">
      <x:c r="A246" s="61"/>
      <x:c r="B246" s="61"/>
      <x:c r="C246" s="61"/>
      <x:c r="D246" s="61"/>
      <x:c r="E246" s="61"/>
      <x:c r="F246" s="61"/>
      <x:c r="G246" s="61"/>
      <x:c r="H246" s="61"/>
      <x:c r="I246" s="61"/>
      <x:c r="J246" s="61"/>
      <x:c r="K246" s="61"/>
      <x:c r="L246" s="61"/>
      <x:c r="M246" s="61"/>
      <x:c r="N246" s="61"/>
      <x:c r="O246" s="61"/>
      <x:c r="P246" s="61"/>
      <x:c r="Q246" s="61"/>
    </x:row>
    <x:row r="247">
      <x:c r="A247" s="61"/>
      <x:c r="B247" s="61"/>
      <x:c r="C247" s="61"/>
      <x:c r="D247" s="61"/>
      <x:c r="E247" s="61"/>
      <x:c r="F247" s="61"/>
      <x:c r="G247" s="61"/>
      <x:c r="H247" s="61"/>
      <x:c r="I247" s="61"/>
      <x:c r="J247" s="61"/>
      <x:c r="K247" s="61"/>
      <x:c r="L247" s="61"/>
      <x:c r="M247" s="61"/>
      <x:c r="N247" s="61"/>
      <x:c r="O247" s="61"/>
      <x:c r="P247" s="61"/>
      <x:c r="Q247" s="61"/>
    </x:row>
    <x:row r="248">
      <x:c r="A248" s="61"/>
      <x:c r="B248" s="61"/>
      <x:c r="C248" s="61"/>
      <x:c r="D248" s="61"/>
      <x:c r="E248" s="61"/>
      <x:c r="F248" s="61"/>
      <x:c r="G248" s="61"/>
      <x:c r="H248" s="61"/>
      <x:c r="I248" s="61"/>
      <x:c r="J248" s="61"/>
      <x:c r="K248" s="61"/>
      <x:c r="L248" s="61"/>
      <x:c r="M248" s="61"/>
      <x:c r="N248" s="61"/>
      <x:c r="O248" s="61"/>
      <x:c r="P248" s="61"/>
      <x:c r="Q248" s="61"/>
    </x:row>
    <x:row r="249">
      <x:c r="A249" s="61"/>
      <x:c r="B249" s="61"/>
      <x:c r="C249" s="61"/>
      <x:c r="D249" s="61"/>
      <x:c r="E249" s="61"/>
      <x:c r="F249" s="61"/>
      <x:c r="G249" s="61"/>
      <x:c r="H249" s="61"/>
      <x:c r="I249" s="61"/>
      <x:c r="J249" s="61"/>
      <x:c r="K249" s="61"/>
      <x:c r="L249" s="61"/>
      <x:c r="M249" s="61"/>
      <x:c r="N249" s="61"/>
      <x:c r="O249" s="61"/>
      <x:c r="P249" s="61"/>
      <x:c r="Q249" s="61"/>
    </x:row>
    <x:row r="250">
      <x:c r="A250" s="61"/>
      <x:c r="B250" s="61"/>
      <x:c r="C250" s="61"/>
      <x:c r="D250" s="61"/>
      <x:c r="E250" s="61"/>
      <x:c r="F250" s="61"/>
      <x:c r="G250" s="61"/>
      <x:c r="H250" s="61"/>
      <x:c r="I250" s="61"/>
      <x:c r="J250" s="61"/>
      <x:c r="K250" s="61"/>
      <x:c r="L250" s="61"/>
      <x:c r="M250" s="61"/>
      <x:c r="N250" s="61"/>
      <x:c r="O250" s="61"/>
      <x:c r="P250" s="61"/>
      <x:c r="Q250" s="61"/>
    </x:row>
    <x:row r="251">
      <x:c r="A251" s="61"/>
      <x:c r="B251" s="61"/>
      <x:c r="C251" s="61"/>
      <x:c r="D251" s="61"/>
      <x:c r="E251" s="61"/>
      <x:c r="F251" s="61"/>
      <x:c r="G251" s="61"/>
      <x:c r="H251" s="61"/>
      <x:c r="I251" s="61"/>
      <x:c r="J251" s="61"/>
      <x:c r="K251" s="61"/>
      <x:c r="L251" s="61"/>
      <x:c r="M251" s="61"/>
      <x:c r="N251" s="61"/>
      <x:c r="O251" s="61"/>
      <x:c r="P251" s="61"/>
      <x:c r="Q251" s="61"/>
    </x:row>
    <x:row r="252">
      <x:c r="A252" s="61"/>
      <x:c r="B252" s="61"/>
      <x:c r="C252" s="61"/>
      <x:c r="D252" s="61"/>
      <x:c r="E252" s="61"/>
      <x:c r="F252" s="61"/>
      <x:c r="G252" s="61"/>
      <x:c r="H252" s="61"/>
      <x:c r="I252" s="61"/>
      <x:c r="J252" s="61"/>
      <x:c r="K252" s="61"/>
      <x:c r="L252" s="61"/>
      <x:c r="M252" s="61"/>
      <x:c r="N252" s="61"/>
      <x:c r="O252" s="61"/>
      <x:c r="P252" s="61"/>
      <x:c r="Q252" s="61"/>
    </x:row>
    <x:row r="253">
      <x:c r="A253" s="61"/>
      <x:c r="B253" s="61"/>
      <x:c r="C253" s="61"/>
      <x:c r="D253" s="61"/>
      <x:c r="E253" s="61"/>
      <x:c r="F253" s="61"/>
      <x:c r="G253" s="61"/>
      <x:c r="H253" s="61"/>
      <x:c r="I253" s="61"/>
      <x:c r="J253" s="61"/>
      <x:c r="K253" s="61"/>
      <x:c r="L253" s="61"/>
      <x:c r="M253" s="61"/>
      <x:c r="N253" s="61"/>
      <x:c r="O253" s="61"/>
      <x:c r="P253" s="61"/>
      <x:c r="Q253" s="61"/>
    </x:row>
    <x:row r="254">
      <x:c r="A254" s="61"/>
      <x:c r="B254" s="61"/>
      <x:c r="C254" s="61"/>
      <x:c r="D254" s="61"/>
      <x:c r="E254" s="61"/>
      <x:c r="F254" s="61"/>
      <x:c r="G254" s="61"/>
      <x:c r="H254" s="61"/>
      <x:c r="I254" s="61"/>
      <x:c r="J254" s="61"/>
      <x:c r="K254" s="61"/>
      <x:c r="L254" s="61"/>
      <x:c r="M254" s="61"/>
      <x:c r="N254" s="61"/>
      <x:c r="O254" s="61"/>
      <x:c r="P254" s="61"/>
      <x:c r="Q254" s="61"/>
    </x:row>
    <x:row r="255">
      <x:c r="A255" s="61"/>
      <x:c r="B255" s="61"/>
      <x:c r="C255" s="61"/>
      <x:c r="D255" s="61"/>
      <x:c r="E255" s="61"/>
      <x:c r="F255" s="61"/>
      <x:c r="G255" s="61"/>
      <x:c r="H255" s="61"/>
      <x:c r="I255" s="61"/>
      <x:c r="J255" s="61"/>
      <x:c r="K255" s="61"/>
      <x:c r="L255" s="61"/>
      <x:c r="M255" s="61"/>
      <x:c r="N255" s="61"/>
      <x:c r="O255" s="61"/>
      <x:c r="P255" s="61"/>
      <x:c r="Q255" s="61"/>
    </x:row>
    <x:row r="256">
      <x:c r="A256" s="61"/>
      <x:c r="B256" s="61"/>
      <x:c r="C256" s="61"/>
      <x:c r="D256" s="61"/>
      <x:c r="E256" s="61"/>
      <x:c r="F256" s="61"/>
      <x:c r="G256" s="61"/>
      <x:c r="H256" s="61"/>
      <x:c r="I256" s="61"/>
      <x:c r="J256" s="61"/>
      <x:c r="K256" s="61"/>
      <x:c r="L256" s="61"/>
      <x:c r="M256" s="61"/>
      <x:c r="N256" s="61"/>
      <x:c r="O256" s="61"/>
      <x:c r="P256" s="61"/>
      <x:c r="Q256" s="61"/>
    </x:row>
    <x:row r="257">
      <x:c r="A257" s="61"/>
      <x:c r="B257" s="61"/>
      <x:c r="C257" s="61"/>
      <x:c r="D257" s="61"/>
      <x:c r="E257" s="61"/>
      <x:c r="F257" s="61"/>
      <x:c r="G257" s="61"/>
      <x:c r="H257" s="61"/>
      <x:c r="I257" s="61"/>
      <x:c r="J257" s="61"/>
      <x:c r="K257" s="61"/>
      <x:c r="L257" s="61"/>
      <x:c r="M257" s="61"/>
      <x:c r="N257" s="61"/>
      <x:c r="O257" s="61"/>
      <x:c r="P257" s="61"/>
      <x:c r="Q257" s="61"/>
    </x:row>
    <x:row r="258">
      <x:c r="A258" s="61"/>
      <x:c r="B258" s="61"/>
      <x:c r="C258" s="61"/>
      <x:c r="D258" s="61"/>
      <x:c r="E258" s="61"/>
      <x:c r="F258" s="61"/>
      <x:c r="G258" s="61"/>
      <x:c r="H258" s="61"/>
      <x:c r="I258" s="61"/>
      <x:c r="J258" s="61"/>
      <x:c r="K258" s="61"/>
      <x:c r="L258" s="61"/>
      <x:c r="M258" s="61"/>
      <x:c r="N258" s="61"/>
      <x:c r="O258" s="61"/>
      <x:c r="P258" s="61"/>
      <x:c r="Q258" s="61"/>
    </x:row>
    <x:row r="259">
      <x:c r="A259" s="61"/>
      <x:c r="B259" s="61"/>
      <x:c r="C259" s="61"/>
      <x:c r="D259" s="61"/>
      <x:c r="E259" s="61"/>
      <x:c r="F259" s="61"/>
      <x:c r="G259" s="61"/>
      <x:c r="H259" s="61"/>
      <x:c r="I259" s="61"/>
      <x:c r="J259" s="61"/>
      <x:c r="K259" s="61"/>
      <x:c r="L259" s="61"/>
      <x:c r="M259" s="61"/>
      <x:c r="N259" s="61"/>
      <x:c r="O259" s="61"/>
      <x:c r="P259" s="61"/>
      <x:c r="Q259" s="61"/>
    </x:row>
    <x:row r="260">
      <x:c r="A260" s="61"/>
      <x:c r="B260" s="61"/>
      <x:c r="C260" s="61"/>
      <x:c r="D260" s="61"/>
      <x:c r="E260" s="61"/>
      <x:c r="F260" s="61"/>
      <x:c r="G260" s="61"/>
      <x:c r="H260" s="61"/>
      <x:c r="I260" s="61"/>
      <x:c r="J260" s="61"/>
      <x:c r="K260" s="61"/>
      <x:c r="L260" s="61"/>
      <x:c r="M260" s="61"/>
      <x:c r="N260" s="61"/>
      <x:c r="O260" s="61"/>
      <x:c r="P260" s="61"/>
      <x:c r="Q260" s="61"/>
    </x:row>
    <x:row r="261">
      <x:c r="A261" s="61"/>
      <x:c r="B261" s="61"/>
      <x:c r="C261" s="61"/>
      <x:c r="D261" s="61"/>
      <x:c r="E261" s="61"/>
      <x:c r="F261" s="61"/>
      <x:c r="G261" s="61"/>
      <x:c r="H261" s="61"/>
      <x:c r="I261" s="61"/>
      <x:c r="J261" s="61"/>
      <x:c r="K261" s="61"/>
      <x:c r="L261" s="61"/>
      <x:c r="M261" s="61"/>
      <x:c r="N261" s="61"/>
      <x:c r="O261" s="61"/>
      <x:c r="P261" s="61"/>
      <x:c r="Q261" s="61"/>
    </x:row>
    <x:row r="262">
      <x:c r="A262" s="61"/>
      <x:c r="B262" s="61"/>
      <x:c r="C262" s="61"/>
      <x:c r="D262" s="61"/>
      <x:c r="E262" s="61"/>
      <x:c r="F262" s="61"/>
      <x:c r="G262" s="61"/>
      <x:c r="H262" s="61"/>
      <x:c r="I262" s="61"/>
      <x:c r="J262" s="61"/>
      <x:c r="K262" s="61"/>
      <x:c r="L262" s="61"/>
      <x:c r="M262" s="61"/>
      <x:c r="N262" s="61"/>
      <x:c r="O262" s="61"/>
      <x:c r="P262" s="61"/>
      <x:c r="Q262" s="61"/>
    </x:row>
    <x:row r="263">
      <x:c r="A263" s="61"/>
      <x:c r="B263" s="61"/>
      <x:c r="C263" s="61"/>
      <x:c r="D263" s="61"/>
      <x:c r="E263" s="61"/>
      <x:c r="F263" s="61"/>
      <x:c r="G263" s="61"/>
      <x:c r="H263" s="61"/>
      <x:c r="I263" s="61"/>
      <x:c r="J263" s="61"/>
      <x:c r="K263" s="61"/>
      <x:c r="L263" s="61"/>
      <x:c r="M263" s="61"/>
      <x:c r="N263" s="61"/>
      <x:c r="O263" s="61"/>
      <x:c r="P263" s="61"/>
      <x:c r="Q263" s="61"/>
    </x:row>
    <x:row r="264">
      <x:c r="A264" s="61"/>
      <x:c r="B264" s="61"/>
      <x:c r="C264" s="61"/>
      <x:c r="D264" s="61"/>
      <x:c r="E264" s="61"/>
      <x:c r="F264" s="61"/>
      <x:c r="G264" s="61"/>
      <x:c r="H264" s="61"/>
      <x:c r="I264" s="61"/>
      <x:c r="J264" s="61"/>
      <x:c r="K264" s="61"/>
      <x:c r="L264" s="61"/>
      <x:c r="M264" s="61"/>
      <x:c r="N264" s="61"/>
      <x:c r="O264" s="61"/>
      <x:c r="P264" s="61"/>
      <x:c r="Q264" s="61"/>
    </x:row>
    <x:row r="265">
      <x:c r="A265" s="61"/>
      <x:c r="B265" s="61"/>
      <x:c r="C265" s="61"/>
      <x:c r="D265" s="61"/>
      <x:c r="E265" s="61"/>
      <x:c r="F265" s="61"/>
      <x:c r="G265" s="61"/>
      <x:c r="H265" s="61"/>
      <x:c r="I265" s="61"/>
      <x:c r="J265" s="61"/>
      <x:c r="K265" s="61"/>
      <x:c r="L265" s="61"/>
      <x:c r="M265" s="61"/>
      <x:c r="N265" s="61"/>
      <x:c r="O265" s="61"/>
      <x:c r="P265" s="61"/>
      <x:c r="Q265" s="61"/>
    </x:row>
    <x:row r="266">
      <x:c r="A266" s="61"/>
      <x:c r="B266" s="61"/>
      <x:c r="C266" s="61"/>
      <x:c r="D266" s="61"/>
      <x:c r="E266" s="61"/>
      <x:c r="F266" s="61"/>
      <x:c r="G266" s="61"/>
      <x:c r="H266" s="61"/>
      <x:c r="I266" s="61"/>
      <x:c r="J266" s="61"/>
      <x:c r="K266" s="61"/>
      <x:c r="L266" s="61"/>
      <x:c r="M266" s="61"/>
      <x:c r="N266" s="61"/>
      <x:c r="O266" s="61"/>
      <x:c r="P266" s="61"/>
      <x:c r="Q266" s="61"/>
    </x:row>
    <x:row r="267">
      <x:c r="A267" s="61"/>
      <x:c r="B267" s="61"/>
      <x:c r="C267" s="61"/>
      <x:c r="D267" s="61"/>
      <x:c r="E267" s="61"/>
      <x:c r="F267" s="61"/>
      <x:c r="G267" s="61"/>
      <x:c r="H267" s="61"/>
      <x:c r="I267" s="61"/>
      <x:c r="J267" s="61"/>
      <x:c r="K267" s="61"/>
      <x:c r="L267" s="61"/>
      <x:c r="M267" s="61"/>
      <x:c r="N267" s="61"/>
      <x:c r="O267" s="61"/>
      <x:c r="P267" s="61"/>
      <x:c r="Q267" s="61"/>
    </x:row>
    <x:row r="268">
      <x:c r="A268" s="61"/>
      <x:c r="B268" s="61"/>
      <x:c r="C268" s="61"/>
      <x:c r="D268" s="61"/>
      <x:c r="E268" s="61"/>
      <x:c r="F268" s="61"/>
      <x:c r="G268" s="61"/>
      <x:c r="H268" s="61"/>
      <x:c r="I268" s="61"/>
      <x:c r="J268" s="61"/>
      <x:c r="K268" s="61"/>
      <x:c r="L268" s="61"/>
      <x:c r="M268" s="61"/>
      <x:c r="N268" s="61"/>
      <x:c r="O268" s="61"/>
      <x:c r="P268" s="61"/>
      <x:c r="Q268" s="61"/>
    </x:row>
    <x:row r="269">
      <x:c r="A269" s="61"/>
      <x:c r="B269" s="61"/>
      <x:c r="C269" s="61"/>
      <x:c r="D269" s="61"/>
      <x:c r="E269" s="61"/>
      <x:c r="F269" s="61"/>
      <x:c r="G269" s="61"/>
      <x:c r="H269" s="61"/>
      <x:c r="I269" s="61"/>
      <x:c r="J269" s="61"/>
      <x:c r="K269" s="61"/>
      <x:c r="L269" s="61"/>
      <x:c r="M269" s="61"/>
      <x:c r="N269" s="61"/>
      <x:c r="O269" s="61"/>
      <x:c r="P269" s="61"/>
      <x:c r="Q269" s="61"/>
    </x:row>
    <x:row r="270">
      <x:c r="A270" s="61"/>
      <x:c r="B270" s="61"/>
      <x:c r="C270" s="61"/>
      <x:c r="D270" s="61"/>
      <x:c r="E270" s="61"/>
      <x:c r="F270" s="61"/>
      <x:c r="G270" s="61"/>
      <x:c r="H270" s="61"/>
      <x:c r="I270" s="61"/>
      <x:c r="J270" s="61"/>
      <x:c r="K270" s="61"/>
      <x:c r="L270" s="61"/>
      <x:c r="M270" s="61"/>
      <x:c r="N270" s="61"/>
      <x:c r="O270" s="61"/>
      <x:c r="P270" s="61"/>
      <x:c r="Q270" s="61"/>
    </x:row>
    <x:row r="271">
      <x:c r="A271" s="61"/>
      <x:c r="B271" s="61"/>
      <x:c r="C271" s="61"/>
      <x:c r="D271" s="61"/>
      <x:c r="E271" s="61"/>
      <x:c r="F271" s="61"/>
      <x:c r="G271" s="61"/>
      <x:c r="H271" s="61"/>
      <x:c r="I271" s="61"/>
      <x:c r="J271" s="61"/>
      <x:c r="K271" s="61"/>
      <x:c r="L271" s="61"/>
      <x:c r="M271" s="61"/>
      <x:c r="N271" s="61"/>
      <x:c r="O271" s="61"/>
      <x:c r="P271" s="61"/>
      <x:c r="Q271" s="61"/>
    </x:row>
    <x:row r="272">
      <x:c r="A272" s="61"/>
      <x:c r="B272" s="61"/>
      <x:c r="C272" s="61"/>
      <x:c r="D272" s="61"/>
      <x:c r="E272" s="61"/>
      <x:c r="F272" s="61"/>
      <x:c r="G272" s="61"/>
      <x:c r="H272" s="61"/>
      <x:c r="I272" s="61"/>
      <x:c r="J272" s="61"/>
      <x:c r="K272" s="61"/>
      <x:c r="L272" s="61"/>
      <x:c r="M272" s="61"/>
      <x:c r="N272" s="61"/>
      <x:c r="O272" s="61"/>
      <x:c r="P272" s="61"/>
      <x:c r="Q272" s="61"/>
    </x:row>
    <x:row r="273">
      <x:c r="A273" s="61"/>
      <x:c r="B273" s="61"/>
      <x:c r="C273" s="61"/>
      <x:c r="D273" s="61"/>
      <x:c r="E273" s="61"/>
      <x:c r="F273" s="61"/>
      <x:c r="G273" s="61"/>
      <x:c r="H273" s="61"/>
      <x:c r="I273" s="61"/>
      <x:c r="J273" s="61"/>
      <x:c r="K273" s="61"/>
      <x:c r="L273" s="61"/>
      <x:c r="M273" s="61"/>
      <x:c r="N273" s="61"/>
      <x:c r="O273" s="61"/>
      <x:c r="P273" s="61"/>
      <x:c r="Q273" s="61"/>
    </x:row>
    <x:row r="274">
      <x:c r="A274" s="61"/>
      <x:c r="B274" s="61"/>
      <x:c r="C274" s="61"/>
      <x:c r="D274" s="61"/>
      <x:c r="E274" s="61"/>
      <x:c r="F274" s="61"/>
      <x:c r="G274" s="61"/>
      <x:c r="H274" s="61"/>
      <x:c r="I274" s="61"/>
      <x:c r="J274" s="61"/>
      <x:c r="K274" s="61"/>
      <x:c r="L274" s="61"/>
      <x:c r="M274" s="61"/>
      <x:c r="N274" s="61"/>
      <x:c r="O274" s="61"/>
      <x:c r="P274" s="61"/>
      <x:c r="Q274" s="61"/>
    </x:row>
    <x:row r="275">
      <x:c r="A275" s="61"/>
      <x:c r="B275" s="61"/>
      <x:c r="C275" s="61"/>
      <x:c r="D275" s="61"/>
      <x:c r="E275" s="61"/>
      <x:c r="F275" s="61"/>
      <x:c r="G275" s="61"/>
      <x:c r="H275" s="61"/>
      <x:c r="I275" s="61"/>
      <x:c r="J275" s="61"/>
      <x:c r="K275" s="61"/>
      <x:c r="L275" s="61"/>
      <x:c r="M275" s="61"/>
      <x:c r="N275" s="61"/>
      <x:c r="O275" s="61"/>
      <x:c r="P275" s="61"/>
      <x:c r="Q275" s="61"/>
    </x:row>
    <x:row r="276">
      <x:c r="A276" s="61"/>
      <x:c r="B276" s="61"/>
      <x:c r="C276" s="61"/>
      <x:c r="D276" s="61"/>
      <x:c r="E276" s="61"/>
      <x:c r="F276" s="61"/>
      <x:c r="G276" s="61"/>
      <x:c r="H276" s="61"/>
      <x:c r="I276" s="61"/>
      <x:c r="J276" s="61"/>
      <x:c r="K276" s="61"/>
      <x:c r="L276" s="61"/>
      <x:c r="M276" s="61"/>
      <x:c r="N276" s="61"/>
      <x:c r="O276" s="61"/>
      <x:c r="P276" s="61"/>
      <x:c r="Q276" s="61"/>
    </x:row>
    <x:row r="277">
      <x:c r="A277" s="61"/>
      <x:c r="B277" s="61"/>
      <x:c r="C277" s="61"/>
      <x:c r="D277" s="61"/>
      <x:c r="E277" s="61"/>
      <x:c r="F277" s="61"/>
      <x:c r="G277" s="61"/>
      <x:c r="H277" s="61"/>
      <x:c r="I277" s="61"/>
      <x:c r="J277" s="61"/>
      <x:c r="K277" s="61"/>
      <x:c r="L277" s="61"/>
      <x:c r="M277" s="61"/>
      <x:c r="N277" s="61"/>
      <x:c r="O277" s="61"/>
      <x:c r="P277" s="61"/>
      <x:c r="Q277" s="61"/>
    </x:row>
    <x:row r="278">
      <x:c r="A278" s="61"/>
      <x:c r="B278" s="61"/>
      <x:c r="C278" s="61"/>
      <x:c r="D278" s="61"/>
      <x:c r="E278" s="61"/>
      <x:c r="F278" s="61"/>
      <x:c r="G278" s="61"/>
      <x:c r="H278" s="61"/>
      <x:c r="I278" s="61"/>
      <x:c r="J278" s="61"/>
      <x:c r="K278" s="61"/>
      <x:c r="L278" s="61"/>
      <x:c r="M278" s="61"/>
      <x:c r="N278" s="61"/>
      <x:c r="O278" s="61"/>
      <x:c r="P278" s="61"/>
      <x:c r="Q278" s="61"/>
    </x:row>
    <x:row r="279">
      <x:c r="A279" s="61"/>
      <x:c r="B279" s="61"/>
      <x:c r="C279" s="61"/>
      <x:c r="D279" s="61"/>
      <x:c r="E279" s="61"/>
      <x:c r="F279" s="61"/>
      <x:c r="G279" s="61"/>
      <x:c r="H279" s="61"/>
      <x:c r="I279" s="61"/>
      <x:c r="J279" s="61"/>
      <x:c r="K279" s="61"/>
      <x:c r="L279" s="61"/>
      <x:c r="M279" s="61"/>
      <x:c r="N279" s="61"/>
      <x:c r="O279" s="61"/>
      <x:c r="P279" s="61"/>
      <x:c r="Q279" s="61"/>
    </x:row>
    <x:row r="280">
      <x:c r="A280" s="61"/>
      <x:c r="B280" s="61"/>
      <x:c r="C280" s="61"/>
      <x:c r="D280" s="61"/>
      <x:c r="E280" s="61"/>
      <x:c r="F280" s="61"/>
      <x:c r="G280" s="61"/>
      <x:c r="H280" s="61"/>
      <x:c r="I280" s="61"/>
      <x:c r="J280" s="61"/>
      <x:c r="K280" s="61"/>
      <x:c r="L280" s="61"/>
      <x:c r="M280" s="61"/>
      <x:c r="N280" s="61"/>
      <x:c r="O280" s="61"/>
      <x:c r="P280" s="61"/>
      <x:c r="Q280" s="61"/>
    </x:row>
    <x:row r="281">
      <x:c r="A281" s="61"/>
      <x:c r="B281" s="61"/>
      <x:c r="C281" s="61"/>
      <x:c r="D281" s="61"/>
      <x:c r="E281" s="61"/>
      <x:c r="F281" s="61"/>
      <x:c r="G281" s="61"/>
      <x:c r="H281" s="61"/>
      <x:c r="I281" s="61"/>
      <x:c r="J281" s="61"/>
      <x:c r="K281" s="61"/>
      <x:c r="L281" s="61"/>
      <x:c r="M281" s="61"/>
      <x:c r="N281" s="61"/>
      <x:c r="O281" s="61"/>
      <x:c r="P281" s="61"/>
      <x:c r="Q281" s="61"/>
    </x:row>
    <x:row r="282">
      <x:c r="A282" s="61"/>
      <x:c r="B282" s="61"/>
      <x:c r="C282" s="61"/>
      <x:c r="D282" s="61"/>
      <x:c r="E282" s="61"/>
      <x:c r="F282" s="61"/>
      <x:c r="G282" s="61"/>
      <x:c r="H282" s="61"/>
      <x:c r="I282" s="61"/>
      <x:c r="J282" s="61"/>
      <x:c r="K282" s="61"/>
      <x:c r="L282" s="61"/>
      <x:c r="M282" s="61"/>
      <x:c r="N282" s="61"/>
      <x:c r="O282" s="61"/>
      <x:c r="P282" s="61"/>
      <x:c r="Q282" s="61"/>
    </x:row>
    <x:row r="283">
      <x:c r="A283" s="61"/>
      <x:c r="B283" s="61"/>
      <x:c r="C283" s="61"/>
      <x:c r="D283" s="61"/>
      <x:c r="E283" s="61"/>
      <x:c r="F283" s="61"/>
      <x:c r="G283" s="61"/>
      <x:c r="H283" s="61"/>
      <x:c r="I283" s="61"/>
      <x:c r="J283" s="61"/>
      <x:c r="K283" s="61"/>
      <x:c r="L283" s="61"/>
      <x:c r="M283" s="61"/>
      <x:c r="N283" s="61"/>
      <x:c r="O283" s="61"/>
      <x:c r="P283" s="61"/>
      <x:c r="Q283" s="61"/>
    </x:row>
    <x:row r="284">
      <x:c r="A284" s="61"/>
      <x:c r="B284" s="61"/>
      <x:c r="C284" s="61"/>
      <x:c r="D284" s="61"/>
      <x:c r="E284" s="61"/>
      <x:c r="F284" s="61"/>
      <x:c r="G284" s="61"/>
      <x:c r="H284" s="61"/>
      <x:c r="I284" s="61"/>
      <x:c r="J284" s="61"/>
      <x:c r="K284" s="61"/>
      <x:c r="L284" s="61"/>
      <x:c r="M284" s="61"/>
      <x:c r="N284" s="61"/>
      <x:c r="O284" s="61"/>
      <x:c r="P284" s="61"/>
      <x:c r="Q284" s="61"/>
    </x:row>
    <x:row r="285">
      <x:c r="A285" s="61"/>
      <x:c r="B285" s="61"/>
      <x:c r="C285" s="61"/>
      <x:c r="D285" s="61"/>
      <x:c r="E285" s="61"/>
      <x:c r="F285" s="61"/>
      <x:c r="G285" s="61"/>
      <x:c r="H285" s="61"/>
      <x:c r="I285" s="61"/>
      <x:c r="J285" s="61"/>
      <x:c r="K285" s="61"/>
      <x:c r="L285" s="61"/>
      <x:c r="M285" s="61"/>
      <x:c r="N285" s="61"/>
      <x:c r="O285" s="61"/>
      <x:c r="P285" s="61"/>
      <x:c r="Q285" s="61"/>
    </x:row>
    <x:row r="286">
      <x:c r="A286" s="61"/>
      <x:c r="B286" s="61"/>
      <x:c r="C286" s="61"/>
      <x:c r="D286" s="61"/>
      <x:c r="E286" s="61"/>
      <x:c r="F286" s="61"/>
      <x:c r="G286" s="61"/>
      <x:c r="H286" s="61"/>
      <x:c r="I286" s="61"/>
      <x:c r="J286" s="61"/>
      <x:c r="K286" s="61"/>
      <x:c r="L286" s="61"/>
      <x:c r="M286" s="61"/>
      <x:c r="N286" s="61"/>
      <x:c r="O286" s="61"/>
      <x:c r="P286" s="61"/>
      <x:c r="Q286" s="61"/>
    </x:row>
    <x:row r="287">
      <x:c r="A287" s="61"/>
      <x:c r="B287" s="61"/>
      <x:c r="C287" s="61"/>
      <x:c r="D287" s="61"/>
      <x:c r="E287" s="61"/>
      <x:c r="F287" s="61"/>
      <x:c r="G287" s="61"/>
      <x:c r="H287" s="61"/>
      <x:c r="I287" s="61"/>
      <x:c r="J287" s="61"/>
      <x:c r="K287" s="61"/>
      <x:c r="L287" s="61"/>
      <x:c r="M287" s="61"/>
      <x:c r="N287" s="61"/>
      <x:c r="O287" s="61"/>
      <x:c r="P287" s="61"/>
      <x:c r="Q287" s="61"/>
    </x:row>
    <x:row r="288">
      <x:c r="A288" s="61"/>
      <x:c r="B288" s="61"/>
      <x:c r="C288" s="61"/>
      <x:c r="D288" s="61"/>
      <x:c r="E288" s="61"/>
      <x:c r="F288" s="61"/>
      <x:c r="G288" s="61"/>
      <x:c r="H288" s="61"/>
      <x:c r="I288" s="61"/>
      <x:c r="J288" s="61"/>
      <x:c r="K288" s="61"/>
      <x:c r="L288" s="61"/>
      <x:c r="M288" s="61"/>
      <x:c r="N288" s="61"/>
      <x:c r="O288" s="61"/>
      <x:c r="P288" s="61"/>
      <x:c r="Q288" s="61"/>
    </x:row>
    <x:row r="289">
      <x:c r="A289" s="61"/>
      <x:c r="B289" s="61"/>
      <x:c r="C289" s="61"/>
      <x:c r="D289" s="61"/>
      <x:c r="E289" s="61"/>
      <x:c r="F289" s="61"/>
      <x:c r="G289" s="61"/>
      <x:c r="H289" s="61"/>
      <x:c r="I289" s="61"/>
      <x:c r="J289" s="61"/>
      <x:c r="K289" s="61"/>
      <x:c r="L289" s="61"/>
      <x:c r="M289" s="61"/>
      <x:c r="N289" s="61"/>
      <x:c r="O289" s="61"/>
      <x:c r="P289" s="61"/>
      <x:c r="Q289" s="61"/>
    </x:row>
    <x:row r="290">
      <x:c r="A290" s="61"/>
      <x:c r="B290" s="61"/>
      <x:c r="C290" s="61"/>
      <x:c r="D290" s="61"/>
      <x:c r="E290" s="61"/>
      <x:c r="F290" s="61"/>
      <x:c r="G290" s="61"/>
      <x:c r="H290" s="61"/>
      <x:c r="I290" s="61"/>
      <x:c r="J290" s="61"/>
      <x:c r="K290" s="61"/>
      <x:c r="L290" s="61"/>
      <x:c r="M290" s="61"/>
      <x:c r="N290" s="61"/>
      <x:c r="O290" s="61"/>
      <x:c r="P290" s="61"/>
      <x:c r="Q290" s="61"/>
    </x:row>
    <x:row r="291">
      <x:c r="A291" s="61"/>
      <x:c r="B291" s="61"/>
      <x:c r="C291" s="61"/>
      <x:c r="D291" s="61"/>
      <x:c r="E291" s="61"/>
      <x:c r="F291" s="61"/>
      <x:c r="G291" s="61"/>
      <x:c r="H291" s="61"/>
      <x:c r="I291" s="61"/>
      <x:c r="J291" s="61"/>
      <x:c r="K291" s="61"/>
      <x:c r="L291" s="61"/>
      <x:c r="M291" s="61"/>
      <x:c r="N291" s="61"/>
      <x:c r="O291" s="61"/>
      <x:c r="P291" s="61"/>
      <x:c r="Q291" s="61"/>
    </x:row>
    <x:row r="292">
      <x:c r="A292" s="61"/>
      <x:c r="B292" s="61"/>
      <x:c r="C292" s="61"/>
      <x:c r="D292" s="61"/>
      <x:c r="E292" s="61"/>
      <x:c r="F292" s="61"/>
      <x:c r="G292" s="61"/>
      <x:c r="H292" s="61"/>
      <x:c r="I292" s="61"/>
      <x:c r="J292" s="61"/>
      <x:c r="K292" s="61"/>
      <x:c r="L292" s="61"/>
      <x:c r="M292" s="61"/>
      <x:c r="N292" s="61"/>
      <x:c r="O292" s="61"/>
      <x:c r="P292" s="61"/>
      <x:c r="Q292" s="61"/>
    </x:row>
    <x:row r="293">
      <x:c r="A293" s="61"/>
      <x:c r="B293" s="61"/>
      <x:c r="C293" s="61"/>
      <x:c r="D293" s="61"/>
      <x:c r="E293" s="61"/>
      <x:c r="F293" s="61"/>
      <x:c r="G293" s="61"/>
      <x:c r="H293" s="61"/>
      <x:c r="I293" s="61"/>
      <x:c r="J293" s="61"/>
      <x:c r="K293" s="61"/>
      <x:c r="L293" s="61"/>
      <x:c r="M293" s="61"/>
      <x:c r="N293" s="61"/>
      <x:c r="O293" s="61"/>
      <x:c r="P293" s="61"/>
      <x:c r="Q293" s="61"/>
    </x:row>
    <x:row r="294">
      <x:c r="A294" s="61"/>
      <x:c r="B294" s="61"/>
      <x:c r="C294" s="61"/>
      <x:c r="D294" s="61"/>
      <x:c r="E294" s="61"/>
      <x:c r="F294" s="61"/>
      <x:c r="G294" s="61"/>
      <x:c r="H294" s="61"/>
      <x:c r="I294" s="61"/>
      <x:c r="J294" s="61"/>
      <x:c r="K294" s="61"/>
      <x:c r="L294" s="61"/>
      <x:c r="M294" s="61"/>
      <x:c r="N294" s="61"/>
      <x:c r="O294" s="61"/>
      <x:c r="P294" s="61"/>
      <x:c r="Q294" s="61"/>
    </x:row>
    <x:row r="295">
      <x:c r="A295" s="61"/>
      <x:c r="B295" s="61"/>
      <x:c r="C295" s="61"/>
      <x:c r="D295" s="61"/>
      <x:c r="E295" s="61"/>
      <x:c r="F295" s="61"/>
      <x:c r="G295" s="61"/>
      <x:c r="H295" s="61"/>
      <x:c r="I295" s="61"/>
      <x:c r="J295" s="61"/>
      <x:c r="K295" s="61"/>
      <x:c r="L295" s="61"/>
      <x:c r="M295" s="61"/>
      <x:c r="N295" s="61"/>
      <x:c r="O295" s="61"/>
      <x:c r="P295" s="61"/>
      <x:c r="Q295" s="61"/>
    </x:row>
    <x:row r="296">
      <x:c r="A296" s="61"/>
      <x:c r="B296" s="61"/>
      <x:c r="C296" s="61"/>
      <x:c r="D296" s="61"/>
      <x:c r="E296" s="61"/>
      <x:c r="F296" s="61"/>
      <x:c r="G296" s="61"/>
      <x:c r="H296" s="61"/>
      <x:c r="I296" s="61"/>
      <x:c r="J296" s="61"/>
      <x:c r="K296" s="61"/>
      <x:c r="L296" s="61"/>
      <x:c r="M296" s="61"/>
      <x:c r="N296" s="61"/>
      <x:c r="O296" s="61"/>
      <x:c r="P296" s="61"/>
      <x:c r="Q296" s="61"/>
    </x:row>
    <x:row r="297">
      <x:c r="A297" s="61"/>
      <x:c r="B297" s="61"/>
      <x:c r="C297" s="61"/>
      <x:c r="D297" s="61"/>
      <x:c r="E297" s="61"/>
      <x:c r="F297" s="61"/>
      <x:c r="G297" s="61"/>
      <x:c r="H297" s="61"/>
      <x:c r="I297" s="61"/>
      <x:c r="J297" s="61"/>
      <x:c r="K297" s="61"/>
      <x:c r="L297" s="61"/>
      <x:c r="M297" s="61"/>
      <x:c r="N297" s="61"/>
      <x:c r="O297" s="61"/>
      <x:c r="P297" s="61"/>
      <x:c r="Q297" s="61"/>
    </x:row>
    <x:row r="298">
      <x:c r="A298" s="61"/>
      <x:c r="B298" s="61"/>
      <x:c r="C298" s="61"/>
      <x:c r="D298" s="61"/>
      <x:c r="E298" s="61"/>
      <x:c r="F298" s="61"/>
      <x:c r="G298" s="61"/>
      <x:c r="H298" s="61"/>
      <x:c r="I298" s="61"/>
      <x:c r="J298" s="61"/>
      <x:c r="K298" s="61"/>
      <x:c r="L298" s="61"/>
      <x:c r="M298" s="61"/>
      <x:c r="N298" s="61"/>
      <x:c r="O298" s="61"/>
      <x:c r="P298" s="61"/>
      <x:c r="Q298" s="61"/>
    </x:row>
    <x:row r="299">
      <x:c r="A299" s="61"/>
      <x:c r="B299" s="61"/>
      <x:c r="C299" s="61"/>
      <x:c r="D299" s="61"/>
      <x:c r="E299" s="61"/>
      <x:c r="F299" s="61"/>
      <x:c r="G299" s="61"/>
      <x:c r="H299" s="61"/>
      <x:c r="I299" s="61"/>
      <x:c r="J299" s="61"/>
      <x:c r="K299" s="61"/>
      <x:c r="L299" s="61"/>
      <x:c r="M299" s="61"/>
      <x:c r="N299" s="61"/>
      <x:c r="O299" s="61"/>
      <x:c r="P299" s="61"/>
      <x:c r="Q299" s="61"/>
    </x:row>
    <x:row r="300">
      <x:c r="A300" s="61"/>
      <x:c r="B300" s="61"/>
      <x:c r="C300" s="61"/>
      <x:c r="D300" s="61"/>
      <x:c r="E300" s="61"/>
      <x:c r="F300" s="61"/>
      <x:c r="G300" s="61"/>
      <x:c r="H300" s="61"/>
      <x:c r="I300" s="61"/>
      <x:c r="J300" s="61"/>
      <x:c r="K300" s="61"/>
      <x:c r="L300" s="61"/>
      <x:c r="M300" s="61"/>
      <x:c r="N300" s="61"/>
      <x:c r="O300" s="61"/>
      <x:c r="P300" s="61"/>
      <x:c r="Q300" s="61"/>
    </x:row>
  </x:sheetData>
  <x:dataValidations count="2">
    <x:dataValidation type="list" sqref="E2:E100">
      <x:formula1>"P0,P1,P2"</x:formula1>
    </x:dataValidation>
    <x:dataValidation type="list" sqref="F2:F100">
      <x:formula1>"Não iniciado,Em andamento,Em validação,Bloqueado,Concluído,Pós-lançamento"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9d84ffd8c4413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75" hidden="0" customWidth="1"/>
  </x:cols>
  <x:sheetData>
    <x:row r="1">
      <x:c r="A1" s="94" t="str">
        <x:v>Como usar a planilha até 25/09</x:v>
      </x:c>
      <x:c r="B1" s="94"/>
      <x:c r="C1" s="94"/>
      <x:c r="D1" s="94"/>
      <x:c r="E1" s="94"/>
      <x:c r="F1" s="94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</x:row>
    <x:row r="2">
      <x:c r="A2" s="94"/>
      <x:c r="B2" s="94"/>
      <x:c r="C2" s="94"/>
      <x:c r="D2" s="94"/>
      <x:c r="E2" s="94"/>
      <x:c r="F2" s="94"/>
      <x:c r="G2" s="61"/>
      <x:c r="H2" s="61"/>
      <x:c r="I2" s="61"/>
      <x:c r="J2" s="61"/>
      <x:c r="K2" s="61"/>
      <x:c r="L2" s="61"/>
      <x:c r="M2" s="61"/>
      <x:c r="N2" s="61"/>
      <x:c r="O2" s="61"/>
      <x:c r="P2" s="61"/>
      <x:c r="Q2" s="61"/>
    </x:row>
    <x:row r="3">
      <x:c r="A3" s="61"/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1"/>
      <x:c r="P3" s="61"/>
      <x:c r="Q3" s="61"/>
    </x:row>
    <x:row r="4">
      <x:c r="A4" s="86" t="str">
        <x:v>1</x:v>
      </x:c>
      <x:c r="B4" s="87" t="str">
        <x:v>Comece pelo Dashboard</x:v>
      </x:c>
      <x:c r="C4" s="87" t="str">
        <x:v>Veja P0 abertos, obrigatórios abertos e o foco imediato.</x:v>
      </x:c>
      <x:c r="D4" s="61"/>
      <x:c r="E4" s="61"/>
      <x:c r="F4" s="61"/>
      <x:c r="G4" s="61"/>
      <x:c r="H4" s="61"/>
      <x:c r="I4" s="61"/>
      <x:c r="J4" s="61"/>
      <x:c r="K4" s="61"/>
      <x:c r="L4" s="61"/>
      <x:c r="M4" s="61"/>
      <x:c r="N4" s="61"/>
      <x:c r="O4" s="61"/>
      <x:c r="P4" s="61"/>
      <x:c r="Q4" s="61"/>
    </x:row>
    <x:row r="5">
      <x:c r="A5" s="61" t="str">
        <x:v>2</x:v>
      </x:c>
      <x:c r="B5" s="64" t="str">
        <x:v>Trabalhe pelo Plano Mestre</x:v>
      </x:c>
      <x:c r="C5" s="64" t="str">
        <x:v>Não pule de fase sem fechar os P0 da fase atual.</x:v>
      </x:c>
      <x:c r="D5" s="61"/>
      <x:c r="E5" s="61"/>
      <x:c r="F5" s="61"/>
      <x:c r="G5" s="61"/>
      <x:c r="H5" s="61"/>
      <x:c r="I5" s="61"/>
      <x:c r="J5" s="61"/>
      <x:c r="K5" s="61"/>
      <x:c r="L5" s="61"/>
      <x:c r="M5" s="61"/>
      <x:c r="N5" s="61"/>
      <x:c r="O5" s="61"/>
      <x:c r="P5" s="61"/>
      <x:c r="Q5" s="61"/>
    </x:row>
    <x:row r="6">
      <x:c r="A6" s="61" t="str">
        <x:v>3</x:v>
      </x:c>
      <x:c r="B6" s="64" t="str">
        <x:v>Atualize Status</x:v>
      </x:c>
      <x:c r="C6" s="64" t="str">
        <x:v>Use: Não iniciado, Em andamento, Em validação, Bloqueado, Concluído.</x:v>
      </x:c>
      <x:c r="D6" s="61"/>
      <x:c r="E6" s="61"/>
      <x:c r="F6" s="61"/>
      <x:c r="G6" s="61"/>
      <x:c r="H6" s="61"/>
      <x:c r="I6" s="61"/>
      <x:c r="J6" s="61"/>
      <x:c r="K6" s="61"/>
      <x:c r="L6" s="61"/>
      <x:c r="M6" s="61"/>
      <x:c r="N6" s="61"/>
      <x:c r="O6" s="61"/>
      <x:c r="P6" s="61"/>
      <x:c r="Q6" s="61"/>
    </x:row>
    <x:row r="7">
      <x:c r="A7" s="61" t="str">
        <x:v>4</x:v>
      </x:c>
      <x:c r="B7" s="64" t="str">
        <x:v>Marque Conferido = Sim</x:v>
      </x:c>
      <x:c r="C7" s="64" t="str">
        <x:v>Só depois de testar o critério de aceite.</x:v>
      </x:c>
      <x:c r="D7" s="61"/>
      <x:c r="E7" s="61"/>
      <x:c r="F7" s="61"/>
      <x:c r="G7" s="61"/>
      <x:c r="H7" s="61"/>
      <x:c r="I7" s="61"/>
      <x:c r="J7" s="61"/>
      <x:c r="K7" s="61"/>
      <x:c r="L7" s="61"/>
      <x:c r="M7" s="61"/>
      <x:c r="N7" s="61"/>
      <x:c r="O7" s="61"/>
      <x:c r="P7" s="61"/>
      <x:c r="Q7" s="61"/>
    </x:row>
    <x:row r="8">
      <x:c r="A8" s="61" t="str">
        <x:v>5</x:v>
      </x:c>
      <x:c r="B8" s="64" t="str">
        <x:v>Cole evidência</x:v>
      </x:c>
      <x:c r="C8" s="64" t="str">
        <x:v>Commit, print, resultado de teste, número da venda/nota ou observação.</x:v>
      </x:c>
      <x:c r="D8" s="61"/>
      <x:c r="E8" s="61"/>
      <x:c r="F8" s="61"/>
      <x:c r="G8" s="61"/>
      <x:c r="H8" s="61"/>
      <x:c r="I8" s="61"/>
      <x:c r="J8" s="61"/>
      <x:c r="K8" s="61"/>
      <x:c r="L8" s="61"/>
      <x:c r="M8" s="61"/>
      <x:c r="N8" s="61"/>
      <x:c r="O8" s="61"/>
      <x:c r="P8" s="61"/>
      <x:c r="Q8" s="61"/>
    </x:row>
    <x:row r="9">
      <x:c r="A9" s="61" t="str">
        <x:v>6</x:v>
      </x:c>
      <x:c r="B9" s="64" t="str">
        <x:v>Todo bug entra em Bugs e Pendências</x:v>
      </x:c>
      <x:c r="C9" s="64" t="str">
        <x:v>Classifique P0/P1/P2 antes de mudar o foco.</x:v>
      </x:c>
      <x:c r="D9" s="61"/>
      <x:c r="E9" s="61"/>
      <x:c r="F9" s="61"/>
      <x:c r="G9" s="61"/>
      <x:c r="H9" s="61"/>
      <x:c r="I9" s="61"/>
      <x:c r="J9" s="61"/>
      <x:c r="K9" s="61"/>
      <x:c r="L9" s="61"/>
      <x:c r="M9" s="61"/>
      <x:c r="N9" s="61"/>
      <x:c r="O9" s="61"/>
      <x:c r="P9" s="61"/>
      <x:c r="Q9" s="61"/>
    </x:row>
    <x:row r="10">
      <x:c r="A10" s="61" t="str">
        <x:v>7</x:v>
      </x:c>
      <x:c r="B10" s="64" t="str">
        <x:v>Use Testes de Aceite de 14 a 19/09</x:v>
      </x:c>
      <x:c r="C10" s="64" t="str">
        <x:v>Execute cenários sem editar banco manualmente.</x:v>
      </x:c>
      <x:c r="D10" s="61"/>
      <x:c r="E10" s="61"/>
      <x:c r="F10" s="61"/>
      <x:c r="G10" s="61"/>
      <x:c r="H10" s="61"/>
      <x:c r="I10" s="61"/>
      <x:c r="J10" s="61"/>
      <x:c r="K10" s="61"/>
      <x:c r="L10" s="61"/>
      <x:c r="M10" s="61"/>
      <x:c r="N10" s="61"/>
      <x:c r="O10" s="61"/>
      <x:c r="P10" s="61"/>
      <x:c r="Q10" s="61"/>
    </x:row>
    <x:row r="11">
      <x:c r="A11" s="61" t="str">
        <x:v>8</x:v>
      </x:c>
      <x:c r="B11" s="64" t="str">
        <x:v>Freeze em 20/09</x:v>
      </x:c>
      <x:c r="C11" s="64" t="str">
        <x:v>Ideias novas vão para Backlog Pós-Lançamento.</x:v>
      </x:c>
      <x:c r="D11" s="61"/>
      <x:c r="E11" s="61"/>
      <x:c r="F11" s="61"/>
      <x:c r="G11" s="61"/>
      <x:c r="H11" s="61"/>
      <x:c r="I11" s="61"/>
      <x:c r="J11" s="61"/>
      <x:c r="K11" s="61"/>
      <x:c r="L11" s="61"/>
      <x:c r="M11" s="61"/>
      <x:c r="N11" s="61"/>
      <x:c r="O11" s="61"/>
      <x:c r="P11" s="61"/>
      <x:c r="Q11" s="61"/>
    </x:row>
    <x:row r="12">
      <x:c r="A12" s="61" t="str">
        <x:v>9</x:v>
      </x:c>
      <x:c r="B12" s="64" t="str">
        <x:v>GO em 24/09</x:v>
      </x:c>
      <x:c r="C12" s="64" t="str">
        <x:v>Somente com zero P0 aberto, backup e smoke test aprovados.</x:v>
      </x:c>
      <x:c r="D12" s="61"/>
      <x:c r="E12" s="61"/>
      <x:c r="F12" s="61"/>
      <x:c r="G12" s="61"/>
      <x:c r="H12" s="61"/>
      <x:c r="I12" s="61"/>
      <x:c r="J12" s="61"/>
      <x:c r="K12" s="61"/>
      <x:c r="L12" s="61"/>
      <x:c r="M12" s="61"/>
      <x:c r="N12" s="61"/>
      <x:c r="O12" s="61"/>
      <x:c r="P12" s="61"/>
      <x:c r="Q12" s="61"/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1"/>
      <x:c r="N13" s="61"/>
      <x:c r="O13" s="61"/>
      <x:c r="P13" s="61"/>
      <x:c r="Q13" s="61"/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1"/>
      <x:c r="N14" s="61"/>
      <x:c r="O14" s="61"/>
      <x:c r="P14" s="61"/>
      <x:c r="Q14" s="61"/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1"/>
      <x:c r="N15" s="61"/>
      <x:c r="O15" s="61"/>
      <x:c r="P15" s="61"/>
      <x:c r="Q15" s="61"/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1"/>
      <x:c r="N16" s="61"/>
      <x:c r="O16" s="61"/>
      <x:c r="P16" s="61"/>
      <x:c r="Q16" s="61"/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1"/>
      <x:c r="N17" s="61"/>
      <x:c r="O17" s="61"/>
      <x:c r="P17" s="61"/>
      <x:c r="Q17" s="61"/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1"/>
      <x:c r="P18" s="61"/>
      <x:c r="Q18" s="61"/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1"/>
      <x:c r="N19" s="61"/>
      <x:c r="O19" s="61"/>
      <x:c r="P19" s="61"/>
      <x:c r="Q19" s="61"/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1"/>
      <x:c r="P20" s="61"/>
      <x:c r="Q20" s="61"/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1"/>
      <x:c r="P21" s="61"/>
      <x:c r="Q21" s="61"/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1"/>
      <x:c r="P22" s="61"/>
      <x:c r="Q22" s="61"/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1"/>
      <x:c r="P23" s="61"/>
      <x:c r="Q23" s="61"/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  <x:c r="P24" s="61"/>
      <x:c r="Q24" s="61"/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1"/>
      <x:c r="P25" s="61"/>
      <x:c r="Q25" s="61"/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1"/>
      <x:c r="M26" s="61"/>
      <x:c r="N26" s="61"/>
      <x:c r="O26" s="61"/>
      <x:c r="P26" s="61"/>
      <x:c r="Q26" s="61"/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1"/>
      <x:c r="M27" s="61"/>
      <x:c r="N27" s="61"/>
      <x:c r="O27" s="61"/>
      <x:c r="P27" s="61"/>
      <x:c r="Q27" s="61"/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61"/>
      <x:c r="M28" s="61"/>
      <x:c r="N28" s="61"/>
      <x:c r="O28" s="61"/>
      <x:c r="P28" s="61"/>
      <x:c r="Q28" s="61"/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1"/>
      <x:c r="M29" s="61"/>
      <x:c r="N29" s="61"/>
      <x:c r="O29" s="61"/>
      <x:c r="P29" s="61"/>
      <x:c r="Q29" s="61"/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1"/>
      <x:c r="M30" s="61"/>
      <x:c r="N30" s="61"/>
      <x:c r="O30" s="61"/>
      <x:c r="P30" s="61"/>
      <x:c r="Q30" s="61"/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1"/>
      <x:c r="M31" s="61"/>
      <x:c r="N31" s="61"/>
      <x:c r="O31" s="61"/>
      <x:c r="P31" s="61"/>
      <x:c r="Q31" s="61"/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1"/>
      <x:c r="N32" s="61"/>
      <x:c r="O32" s="61"/>
      <x:c r="P32" s="61"/>
      <x:c r="Q32" s="61"/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1"/>
      <x:c r="N33" s="61"/>
      <x:c r="O33" s="61"/>
      <x:c r="P33" s="61"/>
      <x:c r="Q33" s="61"/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1"/>
      <x:c r="M34" s="61"/>
      <x:c r="N34" s="61"/>
      <x:c r="O34" s="61"/>
      <x:c r="P34" s="61"/>
      <x:c r="Q34" s="61"/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1"/>
      <x:c r="M35" s="61"/>
      <x:c r="N35" s="61"/>
      <x:c r="O35" s="61"/>
      <x:c r="P35" s="61"/>
      <x:c r="Q35" s="61"/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1"/>
      <x:c r="M36" s="61"/>
      <x:c r="N36" s="61"/>
      <x:c r="O36" s="61"/>
      <x:c r="P36" s="61"/>
      <x:c r="Q36" s="61"/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1"/>
      <x:c r="M37" s="61"/>
      <x:c r="N37" s="61"/>
      <x:c r="O37" s="61"/>
      <x:c r="P37" s="61"/>
      <x:c r="Q37" s="61"/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1"/>
      <x:c r="M38" s="61"/>
      <x:c r="N38" s="61"/>
      <x:c r="O38" s="61"/>
      <x:c r="P38" s="61"/>
      <x:c r="Q38" s="61"/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1"/>
      <x:c r="M39" s="61"/>
      <x:c r="N39" s="61"/>
      <x:c r="O39" s="61"/>
      <x:c r="P39" s="61"/>
      <x:c r="Q39" s="61"/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1"/>
      <x:c r="N41" s="61"/>
      <x:c r="O41" s="61"/>
      <x:c r="P41" s="61"/>
      <x:c r="Q41" s="61"/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1"/>
      <x:c r="N42" s="61"/>
      <x:c r="O42" s="61"/>
      <x:c r="P42" s="61"/>
      <x:c r="Q42" s="61"/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1"/>
      <x:c r="O43" s="61"/>
      <x:c r="P43" s="61"/>
      <x:c r="Q43" s="61"/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1"/>
      <x:c r="O44" s="61"/>
      <x:c r="P44" s="61"/>
      <x:c r="Q44" s="61"/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1"/>
      <x:c r="N45" s="61"/>
      <x:c r="O45" s="61"/>
      <x:c r="P45" s="61"/>
      <x:c r="Q45" s="61"/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1"/>
      <x:c r="N46" s="61"/>
      <x:c r="O46" s="61"/>
      <x:c r="P46" s="61"/>
      <x:c r="Q46" s="61"/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1"/>
      <x:c r="N47" s="61"/>
      <x:c r="O47" s="61"/>
      <x:c r="P47" s="61"/>
      <x:c r="Q47" s="61"/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1"/>
      <x:c r="N48" s="61"/>
      <x:c r="O48" s="61"/>
      <x:c r="P48" s="61"/>
      <x:c r="Q48" s="61"/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1"/>
      <x:c r="N49" s="61"/>
      <x:c r="O49" s="61"/>
      <x:c r="P49" s="61"/>
      <x:c r="Q49" s="61"/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1"/>
      <x:c r="N50" s="61"/>
      <x:c r="O50" s="61"/>
      <x:c r="P50" s="61"/>
      <x:c r="Q50" s="61"/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1"/>
      <x:c r="O51" s="61"/>
      <x:c r="P51" s="61"/>
      <x:c r="Q51" s="61"/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1"/>
      <x:c r="N52" s="61"/>
      <x:c r="O52" s="61"/>
      <x:c r="P52" s="61"/>
      <x:c r="Q52" s="61"/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1"/>
      <x:c r="N53" s="61"/>
      <x:c r="O53" s="61"/>
      <x:c r="P53" s="61"/>
      <x:c r="Q53" s="61"/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1"/>
      <x:c r="N54" s="61"/>
      <x:c r="O54" s="61"/>
      <x:c r="P54" s="61"/>
      <x:c r="Q54" s="61"/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1"/>
      <x:c r="N55" s="61"/>
      <x:c r="O55" s="61"/>
      <x:c r="P55" s="61"/>
      <x:c r="Q55" s="61"/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1"/>
      <x:c r="N56" s="61"/>
      <x:c r="O56" s="61"/>
      <x:c r="P56" s="61"/>
      <x:c r="Q56" s="61"/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1"/>
      <x:c r="N57" s="61"/>
      <x:c r="O57" s="61"/>
      <x:c r="P57" s="61"/>
      <x:c r="Q57" s="61"/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1"/>
      <x:c r="N58" s="61"/>
      <x:c r="O58" s="61"/>
      <x:c r="P58" s="61"/>
      <x:c r="Q58" s="61"/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1"/>
      <x:c r="N59" s="61"/>
      <x:c r="O59" s="61"/>
      <x:c r="P59" s="61"/>
      <x:c r="Q59" s="61"/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1"/>
      <x:c r="N60" s="61"/>
      <x:c r="O60" s="61"/>
      <x:c r="P60" s="61"/>
      <x:c r="Q60" s="61"/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1"/>
      <x:c r="N61" s="61"/>
      <x:c r="O61" s="61"/>
      <x:c r="P61" s="61"/>
      <x:c r="Q61" s="61"/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1"/>
      <x:c r="N62" s="61"/>
      <x:c r="O62" s="61"/>
      <x:c r="P62" s="61"/>
      <x:c r="Q62" s="61"/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1"/>
      <x:c r="N63" s="61"/>
      <x:c r="O63" s="61"/>
      <x:c r="P63" s="61"/>
      <x:c r="Q63" s="61"/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1"/>
      <x:c r="N64" s="61"/>
      <x:c r="O64" s="61"/>
      <x:c r="P64" s="61"/>
      <x:c r="Q64" s="61"/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1"/>
      <x:c r="N65" s="61"/>
      <x:c r="O65" s="61"/>
      <x:c r="P65" s="61"/>
      <x:c r="Q65" s="61"/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1"/>
      <x:c r="N66" s="61"/>
      <x:c r="O66" s="61"/>
      <x:c r="P66" s="61"/>
      <x:c r="Q66" s="61"/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1"/>
      <x:c r="N67" s="61"/>
      <x:c r="O67" s="61"/>
      <x:c r="P67" s="61"/>
      <x:c r="Q67" s="61"/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1"/>
      <x:c r="N68" s="61"/>
      <x:c r="O68" s="61"/>
      <x:c r="P68" s="61"/>
      <x:c r="Q68" s="61"/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1"/>
      <x:c r="N69" s="61"/>
      <x:c r="O69" s="61"/>
      <x:c r="P69" s="61"/>
      <x:c r="Q69" s="61"/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1"/>
      <x:c r="N70" s="61"/>
      <x:c r="O70" s="61"/>
      <x:c r="P70" s="61"/>
      <x:c r="Q70" s="61"/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1"/>
      <x:c r="N71" s="61"/>
      <x:c r="O71" s="61"/>
      <x:c r="P71" s="61"/>
      <x:c r="Q71" s="61"/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1"/>
      <x:c r="N72" s="61"/>
      <x:c r="O72" s="61"/>
      <x:c r="P72" s="61"/>
      <x:c r="Q72" s="61"/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1"/>
      <x:c r="N73" s="61"/>
      <x:c r="O73" s="61"/>
      <x:c r="P73" s="61"/>
      <x:c r="Q73" s="61"/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1"/>
      <x:c r="N74" s="61"/>
      <x:c r="O74" s="61"/>
      <x:c r="P74" s="61"/>
      <x:c r="Q74" s="61"/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1"/>
      <x:c r="N75" s="61"/>
      <x:c r="O75" s="61"/>
      <x:c r="P75" s="61"/>
      <x:c r="Q75" s="61"/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1"/>
      <x:c r="N76" s="61"/>
      <x:c r="O76" s="61"/>
      <x:c r="P76" s="61"/>
      <x:c r="Q76" s="61"/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1"/>
      <x:c r="N77" s="61"/>
      <x:c r="O77" s="61"/>
      <x:c r="P77" s="61"/>
      <x:c r="Q77" s="61"/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1"/>
      <x:c r="N78" s="61"/>
      <x:c r="O78" s="61"/>
      <x:c r="P78" s="61"/>
      <x:c r="Q78" s="61"/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1"/>
      <x:c r="N79" s="61"/>
      <x:c r="O79" s="61"/>
      <x:c r="P79" s="61"/>
      <x:c r="Q79" s="61"/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1"/>
      <x:c r="N80" s="61"/>
      <x:c r="O80" s="61"/>
      <x:c r="P80" s="61"/>
      <x:c r="Q80" s="61"/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1"/>
      <x:c r="N81" s="61"/>
      <x:c r="O81" s="61"/>
      <x:c r="P81" s="61"/>
      <x:c r="Q81" s="61"/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/>
      <x:c r="P82" s="61"/>
      <x:c r="Q82" s="61"/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1"/>
      <x:c r="N83" s="61"/>
      <x:c r="O83" s="61"/>
      <x:c r="P83" s="61"/>
      <x:c r="Q83" s="61"/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1"/>
      <x:c r="N84" s="61"/>
      <x:c r="O84" s="61"/>
      <x:c r="P84" s="61"/>
      <x:c r="Q84" s="61"/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1"/>
      <x:c r="N85" s="61"/>
      <x:c r="O85" s="61"/>
      <x:c r="P85" s="61"/>
      <x:c r="Q85" s="61"/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1"/>
      <x:c r="N86" s="61"/>
      <x:c r="O86" s="61"/>
      <x:c r="P86" s="61"/>
      <x:c r="Q86" s="61"/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1"/>
      <x:c r="N87" s="61"/>
      <x:c r="O87" s="61"/>
      <x:c r="P87" s="61"/>
      <x:c r="Q87" s="61"/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1"/>
      <x:c r="N88" s="61"/>
      <x:c r="O88" s="61"/>
      <x:c r="P88" s="61"/>
      <x:c r="Q88" s="61"/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1"/>
      <x:c r="N89" s="61"/>
      <x:c r="O89" s="61"/>
      <x:c r="P89" s="61"/>
      <x:c r="Q89" s="61"/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1"/>
      <x:c r="N90" s="61"/>
      <x:c r="O90" s="61"/>
      <x:c r="P90" s="61"/>
      <x:c r="Q90" s="61"/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1"/>
      <x:c r="N91" s="61"/>
      <x:c r="O91" s="61"/>
      <x:c r="P91" s="61"/>
      <x:c r="Q91" s="61"/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1"/>
      <x:c r="N92" s="61"/>
      <x:c r="O92" s="61"/>
      <x:c r="P92" s="61"/>
      <x:c r="Q92" s="61"/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1"/>
      <x:c r="N93" s="61"/>
      <x:c r="O93" s="61"/>
      <x:c r="P93" s="61"/>
      <x:c r="Q93" s="61"/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1"/>
      <x:c r="N94" s="61"/>
      <x:c r="O94" s="61"/>
      <x:c r="P94" s="61"/>
      <x:c r="Q94" s="61"/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1"/>
      <x:c r="N95" s="61"/>
      <x:c r="O95" s="61"/>
      <x:c r="P95" s="61"/>
      <x:c r="Q95" s="61"/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1"/>
      <x:c r="N96" s="61"/>
      <x:c r="O96" s="61"/>
      <x:c r="P96" s="61"/>
      <x:c r="Q96" s="61"/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1"/>
      <x:c r="N97" s="61"/>
      <x:c r="O97" s="61"/>
      <x:c r="P97" s="61"/>
      <x:c r="Q97" s="61"/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1"/>
      <x:c r="N98" s="61"/>
      <x:c r="O98" s="61"/>
      <x:c r="P98" s="61"/>
      <x:c r="Q98" s="61"/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1"/>
      <x:c r="N99" s="61"/>
      <x:c r="O99" s="61"/>
      <x:c r="P99" s="61"/>
      <x:c r="Q99" s="61"/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1"/>
      <x:c r="N100" s="61"/>
      <x:c r="O100" s="61"/>
      <x:c r="P100" s="61"/>
      <x:c r="Q100" s="61"/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1"/>
      <x:c r="N101" s="61"/>
      <x:c r="O101" s="61"/>
      <x:c r="P101" s="61"/>
      <x:c r="Q101" s="61"/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1"/>
      <x:c r="N102" s="61"/>
      <x:c r="O102" s="61"/>
      <x:c r="P102" s="61"/>
      <x:c r="Q102" s="61"/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1"/>
      <x:c r="N103" s="61"/>
      <x:c r="O103" s="61"/>
      <x:c r="P103" s="61"/>
      <x:c r="Q103" s="61"/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1"/>
      <x:c r="N104" s="61"/>
      <x:c r="O104" s="61"/>
      <x:c r="P104" s="61"/>
      <x:c r="Q104" s="61"/>
    </x:row>
    <x:row r="105">
      <x:c r="A105" s="61"/>
      <x:c r="B105" s="61"/>
      <x:c r="C105" s="61"/>
      <x:c r="D105" s="61"/>
      <x:c r="E105" s="61"/>
      <x:c r="F105" s="61"/>
      <x:c r="G105" s="61"/>
      <x:c r="H105" s="61"/>
      <x:c r="I105" s="61"/>
      <x:c r="J105" s="61"/>
      <x:c r="K105" s="61"/>
      <x:c r="L105" s="61"/>
      <x:c r="M105" s="61"/>
      <x:c r="N105" s="61"/>
      <x:c r="O105" s="61"/>
      <x:c r="P105" s="61"/>
      <x:c r="Q105" s="61"/>
    </x:row>
    <x:row r="106">
      <x:c r="A106" s="61"/>
      <x:c r="B106" s="61"/>
      <x:c r="C106" s="61"/>
      <x:c r="D106" s="61"/>
      <x:c r="E106" s="61"/>
      <x:c r="F106" s="61"/>
      <x:c r="G106" s="61"/>
      <x:c r="H106" s="61"/>
      <x:c r="I106" s="61"/>
      <x:c r="J106" s="61"/>
      <x:c r="K106" s="61"/>
      <x:c r="L106" s="61"/>
      <x:c r="M106" s="61"/>
      <x:c r="N106" s="61"/>
      <x:c r="O106" s="61"/>
      <x:c r="P106" s="61"/>
      <x:c r="Q106" s="61"/>
    </x:row>
    <x:row r="107">
      <x:c r="A107" s="61"/>
      <x:c r="B107" s="61"/>
      <x:c r="C107" s="61"/>
      <x:c r="D107" s="61"/>
      <x:c r="E107" s="61"/>
      <x:c r="F107" s="61"/>
      <x:c r="G107" s="61"/>
      <x:c r="H107" s="61"/>
      <x:c r="I107" s="61"/>
      <x:c r="J107" s="61"/>
      <x:c r="K107" s="61"/>
      <x:c r="L107" s="61"/>
      <x:c r="M107" s="61"/>
      <x:c r="N107" s="61"/>
      <x:c r="O107" s="61"/>
      <x:c r="P107" s="61"/>
      <x:c r="Q107" s="61"/>
    </x:row>
    <x:row r="108">
      <x:c r="A108" s="61"/>
      <x:c r="B108" s="61"/>
      <x:c r="C108" s="61"/>
      <x:c r="D108" s="61"/>
      <x:c r="E108" s="61"/>
      <x:c r="F108" s="61"/>
      <x:c r="G108" s="61"/>
      <x:c r="H108" s="61"/>
      <x:c r="I108" s="61"/>
      <x:c r="J108" s="61"/>
      <x:c r="K108" s="61"/>
      <x:c r="L108" s="61"/>
      <x:c r="M108" s="61"/>
      <x:c r="N108" s="61"/>
      <x:c r="O108" s="61"/>
      <x:c r="P108" s="61"/>
      <x:c r="Q108" s="61"/>
    </x:row>
    <x:row r="109">
      <x:c r="A109" s="61"/>
      <x:c r="B109" s="61"/>
      <x:c r="C109" s="61"/>
      <x:c r="D109" s="61"/>
      <x:c r="E109" s="61"/>
      <x:c r="F109" s="61"/>
      <x:c r="G109" s="61"/>
      <x:c r="H109" s="61"/>
      <x:c r="I109" s="61"/>
      <x:c r="J109" s="61"/>
      <x:c r="K109" s="61"/>
      <x:c r="L109" s="61"/>
      <x:c r="M109" s="61"/>
      <x:c r="N109" s="61"/>
      <x:c r="O109" s="61"/>
      <x:c r="P109" s="61"/>
      <x:c r="Q109" s="61"/>
    </x:row>
    <x:row r="110">
      <x:c r="A110" s="61"/>
      <x:c r="B110" s="61"/>
      <x:c r="C110" s="61"/>
      <x:c r="D110" s="61"/>
      <x:c r="E110" s="61"/>
      <x:c r="F110" s="61"/>
      <x:c r="G110" s="61"/>
      <x:c r="H110" s="61"/>
      <x:c r="I110" s="61"/>
      <x:c r="J110" s="61"/>
      <x:c r="K110" s="61"/>
      <x:c r="L110" s="61"/>
      <x:c r="M110" s="61"/>
      <x:c r="N110" s="61"/>
      <x:c r="O110" s="61"/>
      <x:c r="P110" s="61"/>
      <x:c r="Q110" s="61"/>
    </x:row>
    <x:row r="111">
      <x:c r="A111" s="61"/>
      <x:c r="B111" s="61"/>
      <x:c r="C111" s="61"/>
      <x:c r="D111" s="61"/>
      <x:c r="E111" s="61"/>
      <x:c r="F111" s="61"/>
      <x:c r="G111" s="61"/>
      <x:c r="H111" s="61"/>
      <x:c r="I111" s="61"/>
      <x:c r="J111" s="61"/>
      <x:c r="K111" s="61"/>
      <x:c r="L111" s="61"/>
      <x:c r="M111" s="61"/>
      <x:c r="N111" s="61"/>
      <x:c r="O111" s="61"/>
      <x:c r="P111" s="61"/>
      <x:c r="Q111" s="61"/>
    </x:row>
    <x:row r="112">
      <x:c r="A112" s="61"/>
      <x:c r="B112" s="61"/>
      <x:c r="C112" s="61"/>
      <x:c r="D112" s="61"/>
      <x:c r="E112" s="61"/>
      <x:c r="F112" s="61"/>
      <x:c r="G112" s="61"/>
      <x:c r="H112" s="61"/>
      <x:c r="I112" s="61"/>
      <x:c r="J112" s="61"/>
      <x:c r="K112" s="61"/>
      <x:c r="L112" s="61"/>
      <x:c r="M112" s="61"/>
      <x:c r="N112" s="61"/>
      <x:c r="O112" s="61"/>
      <x:c r="P112" s="61"/>
      <x:c r="Q112" s="61"/>
    </x:row>
    <x:row r="113">
      <x:c r="A113" s="61"/>
      <x:c r="B113" s="61"/>
      <x:c r="C113" s="61"/>
      <x:c r="D113" s="61"/>
      <x:c r="E113" s="61"/>
      <x:c r="F113" s="61"/>
      <x:c r="G113" s="61"/>
      <x:c r="H113" s="61"/>
      <x:c r="I113" s="61"/>
      <x:c r="J113" s="61"/>
      <x:c r="K113" s="61"/>
      <x:c r="L113" s="61"/>
      <x:c r="M113" s="61"/>
      <x:c r="N113" s="61"/>
      <x:c r="O113" s="61"/>
      <x:c r="P113" s="61"/>
      <x:c r="Q113" s="61"/>
    </x:row>
    <x:row r="114">
      <x:c r="A114" s="61"/>
      <x:c r="B114" s="61"/>
      <x:c r="C114" s="61"/>
      <x:c r="D114" s="61"/>
      <x:c r="E114" s="61"/>
      <x:c r="F114" s="61"/>
      <x:c r="G114" s="61"/>
      <x:c r="H114" s="61"/>
      <x:c r="I114" s="61"/>
      <x:c r="J114" s="61"/>
      <x:c r="K114" s="61"/>
      <x:c r="L114" s="61"/>
      <x:c r="M114" s="61"/>
      <x:c r="N114" s="61"/>
      <x:c r="O114" s="61"/>
      <x:c r="P114" s="61"/>
      <x:c r="Q114" s="61"/>
    </x:row>
    <x:row r="115">
      <x:c r="A115" s="61"/>
      <x:c r="B115" s="61"/>
      <x:c r="C115" s="61"/>
      <x:c r="D115" s="61"/>
      <x:c r="E115" s="61"/>
      <x:c r="F115" s="61"/>
      <x:c r="G115" s="61"/>
      <x:c r="H115" s="61"/>
      <x:c r="I115" s="61"/>
      <x:c r="J115" s="61"/>
      <x:c r="K115" s="61"/>
      <x:c r="L115" s="61"/>
      <x:c r="M115" s="61"/>
      <x:c r="N115" s="61"/>
      <x:c r="O115" s="61"/>
      <x:c r="P115" s="61"/>
      <x:c r="Q115" s="61"/>
    </x:row>
    <x:row r="116">
      <x:c r="A116" s="61"/>
      <x:c r="B116" s="61"/>
      <x:c r="C116" s="61"/>
      <x:c r="D116" s="61"/>
      <x:c r="E116" s="61"/>
      <x:c r="F116" s="61"/>
      <x:c r="G116" s="61"/>
      <x:c r="H116" s="61"/>
      <x:c r="I116" s="61"/>
      <x:c r="J116" s="61"/>
      <x:c r="K116" s="61"/>
      <x:c r="L116" s="61"/>
      <x:c r="M116" s="61"/>
      <x:c r="N116" s="61"/>
      <x:c r="O116" s="61"/>
      <x:c r="P116" s="61"/>
      <x:c r="Q116" s="61"/>
    </x:row>
    <x:row r="117">
      <x:c r="A117" s="61"/>
      <x:c r="B117" s="61"/>
      <x:c r="C117" s="61"/>
      <x:c r="D117" s="61"/>
      <x:c r="E117" s="61"/>
      <x:c r="F117" s="61"/>
      <x:c r="G117" s="61"/>
      <x:c r="H117" s="61"/>
      <x:c r="I117" s="61"/>
      <x:c r="J117" s="61"/>
      <x:c r="K117" s="61"/>
      <x:c r="L117" s="61"/>
      <x:c r="M117" s="61"/>
      <x:c r="N117" s="61"/>
      <x:c r="O117" s="61"/>
      <x:c r="P117" s="61"/>
      <x:c r="Q117" s="61"/>
    </x:row>
    <x:row r="118">
      <x:c r="A118" s="61"/>
      <x:c r="B118" s="61"/>
      <x:c r="C118" s="61"/>
      <x:c r="D118" s="61"/>
      <x:c r="E118" s="61"/>
      <x:c r="F118" s="61"/>
      <x:c r="G118" s="61"/>
      <x:c r="H118" s="61"/>
      <x:c r="I118" s="61"/>
      <x:c r="J118" s="61"/>
      <x:c r="K118" s="61"/>
      <x:c r="L118" s="61"/>
      <x:c r="M118" s="61"/>
      <x:c r="N118" s="61"/>
      <x:c r="O118" s="61"/>
      <x:c r="P118" s="61"/>
      <x:c r="Q118" s="61"/>
    </x:row>
    <x:row r="119">
      <x:c r="A119" s="61"/>
      <x:c r="B119" s="61"/>
      <x:c r="C119" s="61"/>
      <x:c r="D119" s="61"/>
      <x:c r="E119" s="61"/>
      <x:c r="F119" s="61"/>
      <x:c r="G119" s="61"/>
      <x:c r="H119" s="61"/>
      <x:c r="I119" s="61"/>
      <x:c r="J119" s="61"/>
      <x:c r="K119" s="61"/>
      <x:c r="L119" s="61"/>
      <x:c r="M119" s="61"/>
      <x:c r="N119" s="61"/>
      <x:c r="O119" s="61"/>
      <x:c r="P119" s="61"/>
      <x:c r="Q119" s="61"/>
    </x:row>
    <x:row r="120">
      <x:c r="A120" s="61"/>
      <x:c r="B120" s="61"/>
      <x:c r="C120" s="61"/>
      <x:c r="D120" s="61"/>
      <x:c r="E120" s="61"/>
      <x:c r="F120" s="61"/>
      <x:c r="G120" s="61"/>
      <x:c r="H120" s="61"/>
      <x:c r="I120" s="61"/>
      <x:c r="J120" s="61"/>
      <x:c r="K120" s="61"/>
      <x:c r="L120" s="61"/>
      <x:c r="M120" s="61"/>
      <x:c r="N120" s="61"/>
      <x:c r="O120" s="61"/>
      <x:c r="P120" s="61"/>
      <x:c r="Q120" s="61"/>
    </x:row>
    <x:row r="121">
      <x:c r="A121" s="61"/>
      <x:c r="B121" s="61"/>
      <x:c r="C121" s="61"/>
      <x:c r="D121" s="61"/>
      <x:c r="E121" s="61"/>
      <x:c r="F121" s="61"/>
      <x:c r="G121" s="61"/>
      <x:c r="H121" s="61"/>
      <x:c r="I121" s="61"/>
      <x:c r="J121" s="61"/>
      <x:c r="K121" s="61"/>
      <x:c r="L121" s="61"/>
      <x:c r="M121" s="61"/>
      <x:c r="N121" s="61"/>
      <x:c r="O121" s="61"/>
      <x:c r="P121" s="61"/>
      <x:c r="Q121" s="61"/>
    </x:row>
    <x:row r="122">
      <x:c r="A122" s="61"/>
      <x:c r="B122" s="61"/>
      <x:c r="C122" s="61"/>
      <x:c r="D122" s="61"/>
      <x:c r="E122" s="61"/>
      <x:c r="F122" s="61"/>
      <x:c r="G122" s="61"/>
      <x:c r="H122" s="61"/>
      <x:c r="I122" s="61"/>
      <x:c r="J122" s="61"/>
      <x:c r="K122" s="61"/>
      <x:c r="L122" s="61"/>
      <x:c r="M122" s="61"/>
      <x:c r="N122" s="61"/>
      <x:c r="O122" s="61"/>
      <x:c r="P122" s="61"/>
      <x:c r="Q122" s="61"/>
    </x:row>
    <x:row r="123">
      <x:c r="A123" s="61"/>
      <x:c r="B123" s="61"/>
      <x:c r="C123" s="61"/>
      <x:c r="D123" s="61"/>
      <x:c r="E123" s="61"/>
      <x:c r="F123" s="61"/>
      <x:c r="G123" s="61"/>
      <x:c r="H123" s="61"/>
      <x:c r="I123" s="61"/>
      <x:c r="J123" s="61"/>
      <x:c r="K123" s="61"/>
      <x:c r="L123" s="61"/>
      <x:c r="M123" s="61"/>
      <x:c r="N123" s="61"/>
      <x:c r="O123" s="61"/>
      <x:c r="P123" s="61"/>
      <x:c r="Q123" s="61"/>
    </x:row>
    <x:row r="124">
      <x:c r="A124" s="61"/>
      <x:c r="B124" s="61"/>
      <x:c r="C124" s="61"/>
      <x:c r="D124" s="61"/>
      <x:c r="E124" s="61"/>
      <x:c r="F124" s="61"/>
      <x:c r="G124" s="61"/>
      <x:c r="H124" s="61"/>
      <x:c r="I124" s="61"/>
      <x:c r="J124" s="61"/>
      <x:c r="K124" s="61"/>
      <x:c r="L124" s="61"/>
      <x:c r="M124" s="61"/>
      <x:c r="N124" s="61"/>
      <x:c r="O124" s="61"/>
      <x:c r="P124" s="61"/>
      <x:c r="Q124" s="61"/>
    </x:row>
    <x:row r="125">
      <x:c r="A125" s="61"/>
      <x:c r="B125" s="61"/>
      <x:c r="C125" s="61"/>
      <x:c r="D125" s="61"/>
      <x:c r="E125" s="61"/>
      <x:c r="F125" s="61"/>
      <x:c r="G125" s="61"/>
      <x:c r="H125" s="61"/>
      <x:c r="I125" s="61"/>
      <x:c r="J125" s="61"/>
      <x:c r="K125" s="61"/>
      <x:c r="L125" s="61"/>
      <x:c r="M125" s="61"/>
      <x:c r="N125" s="61"/>
      <x:c r="O125" s="61"/>
      <x:c r="P125" s="61"/>
      <x:c r="Q125" s="61"/>
    </x:row>
    <x:row r="126">
      <x:c r="A126" s="61"/>
      <x:c r="B126" s="61"/>
      <x:c r="C126" s="61"/>
      <x:c r="D126" s="61"/>
      <x:c r="E126" s="61"/>
      <x:c r="F126" s="61"/>
      <x:c r="G126" s="61"/>
      <x:c r="H126" s="61"/>
      <x:c r="I126" s="61"/>
      <x:c r="J126" s="61"/>
      <x:c r="K126" s="61"/>
      <x:c r="L126" s="61"/>
      <x:c r="M126" s="61"/>
      <x:c r="N126" s="61"/>
      <x:c r="O126" s="61"/>
      <x:c r="P126" s="61"/>
      <x:c r="Q126" s="61"/>
    </x:row>
    <x:row r="127">
      <x:c r="A127" s="61"/>
      <x:c r="B127" s="61"/>
      <x:c r="C127" s="61"/>
      <x:c r="D127" s="61"/>
      <x:c r="E127" s="61"/>
      <x:c r="F127" s="61"/>
      <x:c r="G127" s="61"/>
      <x:c r="H127" s="61"/>
      <x:c r="I127" s="61"/>
      <x:c r="J127" s="61"/>
      <x:c r="K127" s="61"/>
      <x:c r="L127" s="61"/>
      <x:c r="M127" s="61"/>
      <x:c r="N127" s="61"/>
      <x:c r="O127" s="61"/>
      <x:c r="P127" s="61"/>
      <x:c r="Q127" s="61"/>
    </x:row>
    <x:row r="128">
      <x:c r="A128" s="61"/>
      <x:c r="B128" s="61"/>
      <x:c r="C128" s="61"/>
      <x:c r="D128" s="61"/>
      <x:c r="E128" s="61"/>
      <x:c r="F128" s="61"/>
      <x:c r="G128" s="61"/>
      <x:c r="H128" s="61"/>
      <x:c r="I128" s="61"/>
      <x:c r="J128" s="61"/>
      <x:c r="K128" s="61"/>
      <x:c r="L128" s="61"/>
      <x:c r="M128" s="61"/>
      <x:c r="N128" s="61"/>
      <x:c r="O128" s="61"/>
      <x:c r="P128" s="61"/>
      <x:c r="Q128" s="61"/>
    </x:row>
    <x:row r="129">
      <x:c r="A129" s="61"/>
      <x:c r="B129" s="61"/>
      <x:c r="C129" s="61"/>
      <x:c r="D129" s="61"/>
      <x:c r="E129" s="61"/>
      <x:c r="F129" s="61"/>
      <x:c r="G129" s="61"/>
      <x:c r="H129" s="61"/>
      <x:c r="I129" s="61"/>
      <x:c r="J129" s="61"/>
      <x:c r="K129" s="61"/>
      <x:c r="L129" s="61"/>
      <x:c r="M129" s="61"/>
      <x:c r="N129" s="61"/>
      <x:c r="O129" s="61"/>
      <x:c r="P129" s="61"/>
      <x:c r="Q129" s="61"/>
    </x:row>
    <x:row r="130">
      <x:c r="A130" s="61"/>
      <x:c r="B130" s="61"/>
      <x:c r="C130" s="61"/>
      <x:c r="D130" s="61"/>
      <x:c r="E130" s="61"/>
      <x:c r="F130" s="61"/>
      <x:c r="G130" s="61"/>
      <x:c r="H130" s="61"/>
      <x:c r="I130" s="61"/>
      <x:c r="J130" s="61"/>
      <x:c r="K130" s="61"/>
      <x:c r="L130" s="61"/>
      <x:c r="M130" s="61"/>
      <x:c r="N130" s="61"/>
      <x:c r="O130" s="61"/>
      <x:c r="P130" s="61"/>
      <x:c r="Q130" s="61"/>
    </x:row>
    <x:row r="131">
      <x:c r="A131" s="61"/>
      <x:c r="B131" s="61"/>
      <x:c r="C131" s="61"/>
      <x:c r="D131" s="61"/>
      <x:c r="E131" s="61"/>
      <x:c r="F131" s="61"/>
      <x:c r="G131" s="61"/>
      <x:c r="H131" s="61"/>
      <x:c r="I131" s="61"/>
      <x:c r="J131" s="61"/>
      <x:c r="K131" s="61"/>
      <x:c r="L131" s="61"/>
      <x:c r="M131" s="61"/>
      <x:c r="N131" s="61"/>
      <x:c r="O131" s="61"/>
      <x:c r="P131" s="61"/>
      <x:c r="Q131" s="61"/>
    </x:row>
    <x:row r="132">
      <x:c r="A132" s="61"/>
      <x:c r="B132" s="61"/>
      <x:c r="C132" s="61"/>
      <x:c r="D132" s="61"/>
      <x:c r="E132" s="61"/>
      <x:c r="F132" s="61"/>
      <x:c r="G132" s="61"/>
      <x:c r="H132" s="61"/>
      <x:c r="I132" s="61"/>
      <x:c r="J132" s="61"/>
      <x:c r="K132" s="61"/>
      <x:c r="L132" s="61"/>
      <x:c r="M132" s="61"/>
      <x:c r="N132" s="61"/>
      <x:c r="O132" s="61"/>
      <x:c r="P132" s="61"/>
      <x:c r="Q132" s="61"/>
    </x:row>
    <x:row r="133">
      <x:c r="A133" s="61"/>
      <x:c r="B133" s="61"/>
      <x:c r="C133" s="61"/>
      <x:c r="D133" s="61"/>
      <x:c r="E133" s="61"/>
      <x:c r="F133" s="61"/>
      <x:c r="G133" s="61"/>
      <x:c r="H133" s="61"/>
      <x:c r="I133" s="61"/>
      <x:c r="J133" s="61"/>
      <x:c r="K133" s="61"/>
      <x:c r="L133" s="61"/>
      <x:c r="M133" s="61"/>
      <x:c r="N133" s="61"/>
      <x:c r="O133" s="61"/>
      <x:c r="P133" s="61"/>
      <x:c r="Q133" s="61"/>
    </x:row>
    <x:row r="134">
      <x:c r="A134" s="61"/>
      <x:c r="B134" s="61"/>
      <x:c r="C134" s="61"/>
      <x:c r="D134" s="61"/>
      <x:c r="E134" s="61"/>
      <x:c r="F134" s="61"/>
      <x:c r="G134" s="61"/>
      <x:c r="H134" s="61"/>
      <x:c r="I134" s="61"/>
      <x:c r="J134" s="61"/>
      <x:c r="K134" s="61"/>
      <x:c r="L134" s="61"/>
      <x:c r="M134" s="61"/>
      <x:c r="N134" s="61"/>
      <x:c r="O134" s="61"/>
      <x:c r="P134" s="61"/>
      <x:c r="Q134" s="61"/>
    </x:row>
    <x:row r="135">
      <x:c r="A135" s="61"/>
      <x:c r="B135" s="61"/>
      <x:c r="C135" s="61"/>
      <x:c r="D135" s="61"/>
      <x:c r="E135" s="61"/>
      <x:c r="F135" s="61"/>
      <x:c r="G135" s="61"/>
      <x:c r="H135" s="61"/>
      <x:c r="I135" s="61"/>
      <x:c r="J135" s="61"/>
      <x:c r="K135" s="61"/>
      <x:c r="L135" s="61"/>
      <x:c r="M135" s="61"/>
      <x:c r="N135" s="61"/>
      <x:c r="O135" s="61"/>
      <x:c r="P135" s="61"/>
      <x:c r="Q135" s="61"/>
    </x:row>
    <x:row r="136">
      <x:c r="A136" s="61"/>
      <x:c r="B136" s="61"/>
      <x:c r="C136" s="61"/>
      <x:c r="D136" s="61"/>
      <x:c r="E136" s="61"/>
      <x:c r="F136" s="61"/>
      <x:c r="G136" s="61"/>
      <x:c r="H136" s="61"/>
      <x:c r="I136" s="61"/>
      <x:c r="J136" s="61"/>
      <x:c r="K136" s="61"/>
      <x:c r="L136" s="61"/>
      <x:c r="M136" s="61"/>
      <x:c r="N136" s="61"/>
      <x:c r="O136" s="61"/>
      <x:c r="P136" s="61"/>
      <x:c r="Q136" s="61"/>
    </x:row>
    <x:row r="137">
      <x:c r="A137" s="61"/>
      <x:c r="B137" s="61"/>
      <x:c r="C137" s="61"/>
      <x:c r="D137" s="61"/>
      <x:c r="E137" s="61"/>
      <x:c r="F137" s="61"/>
      <x:c r="G137" s="61"/>
      <x:c r="H137" s="61"/>
      <x:c r="I137" s="61"/>
      <x:c r="J137" s="61"/>
      <x:c r="K137" s="61"/>
      <x:c r="L137" s="61"/>
      <x:c r="M137" s="61"/>
      <x:c r="N137" s="61"/>
      <x:c r="O137" s="61"/>
      <x:c r="P137" s="61"/>
      <x:c r="Q137" s="61"/>
    </x:row>
    <x:row r="138">
      <x:c r="A138" s="61"/>
      <x:c r="B138" s="61"/>
      <x:c r="C138" s="61"/>
      <x:c r="D138" s="61"/>
      <x:c r="E138" s="61"/>
      <x:c r="F138" s="61"/>
      <x:c r="G138" s="61"/>
      <x:c r="H138" s="61"/>
      <x:c r="I138" s="61"/>
      <x:c r="J138" s="61"/>
      <x:c r="K138" s="61"/>
      <x:c r="L138" s="61"/>
      <x:c r="M138" s="61"/>
      <x:c r="N138" s="61"/>
      <x:c r="O138" s="61"/>
      <x:c r="P138" s="61"/>
      <x:c r="Q138" s="61"/>
    </x:row>
    <x:row r="139">
      <x:c r="A139" s="61"/>
      <x:c r="B139" s="61"/>
      <x:c r="C139" s="61"/>
      <x:c r="D139" s="61"/>
      <x:c r="E139" s="61"/>
      <x:c r="F139" s="61"/>
      <x:c r="G139" s="61"/>
      <x:c r="H139" s="61"/>
      <x:c r="I139" s="61"/>
      <x:c r="J139" s="61"/>
      <x:c r="K139" s="61"/>
      <x:c r="L139" s="61"/>
      <x:c r="M139" s="61"/>
      <x:c r="N139" s="61"/>
      <x:c r="O139" s="61"/>
      <x:c r="P139" s="61"/>
      <x:c r="Q139" s="61"/>
    </x:row>
    <x:row r="140">
      <x:c r="A140" s="61"/>
      <x:c r="B140" s="61"/>
      <x:c r="C140" s="61"/>
      <x:c r="D140" s="61"/>
      <x:c r="E140" s="61"/>
      <x:c r="F140" s="61"/>
      <x:c r="G140" s="61"/>
      <x:c r="H140" s="61"/>
      <x:c r="I140" s="61"/>
      <x:c r="J140" s="61"/>
      <x:c r="K140" s="61"/>
      <x:c r="L140" s="61"/>
      <x:c r="M140" s="61"/>
      <x:c r="N140" s="61"/>
      <x:c r="O140" s="61"/>
      <x:c r="P140" s="61"/>
      <x:c r="Q140" s="61"/>
    </x:row>
    <x:row r="141">
      <x:c r="A141" s="61"/>
      <x:c r="B141" s="61"/>
      <x:c r="C141" s="61"/>
      <x:c r="D141" s="61"/>
      <x:c r="E141" s="61"/>
      <x:c r="F141" s="61"/>
      <x:c r="G141" s="61"/>
      <x:c r="H141" s="61"/>
      <x:c r="I141" s="61"/>
      <x:c r="J141" s="61"/>
      <x:c r="K141" s="61"/>
      <x:c r="L141" s="61"/>
      <x:c r="M141" s="61"/>
      <x:c r="N141" s="61"/>
      <x:c r="O141" s="61"/>
      <x:c r="P141" s="61"/>
      <x:c r="Q141" s="61"/>
    </x:row>
    <x:row r="142">
      <x:c r="A142" s="61"/>
      <x:c r="B142" s="61"/>
      <x:c r="C142" s="61"/>
      <x:c r="D142" s="61"/>
      <x:c r="E142" s="61"/>
      <x:c r="F142" s="61"/>
      <x:c r="G142" s="61"/>
      <x:c r="H142" s="61"/>
      <x:c r="I142" s="61"/>
      <x:c r="J142" s="61"/>
      <x:c r="K142" s="61"/>
      <x:c r="L142" s="61"/>
      <x:c r="M142" s="61"/>
      <x:c r="N142" s="61"/>
      <x:c r="O142" s="61"/>
      <x:c r="P142" s="61"/>
      <x:c r="Q142" s="61"/>
    </x:row>
    <x:row r="143">
      <x:c r="A143" s="61"/>
      <x:c r="B143" s="61"/>
      <x:c r="C143" s="61"/>
      <x:c r="D143" s="61"/>
      <x:c r="E143" s="61"/>
      <x:c r="F143" s="61"/>
      <x:c r="G143" s="61"/>
      <x:c r="H143" s="61"/>
      <x:c r="I143" s="61"/>
      <x:c r="J143" s="61"/>
      <x:c r="K143" s="61"/>
      <x:c r="L143" s="61"/>
      <x:c r="M143" s="61"/>
      <x:c r="N143" s="61"/>
      <x:c r="O143" s="61"/>
      <x:c r="P143" s="61"/>
      <x:c r="Q143" s="61"/>
    </x:row>
    <x:row r="144">
      <x:c r="A144" s="61"/>
      <x:c r="B144" s="61"/>
      <x:c r="C144" s="61"/>
      <x:c r="D144" s="61"/>
      <x:c r="E144" s="61"/>
      <x:c r="F144" s="61"/>
      <x:c r="G144" s="61"/>
      <x:c r="H144" s="61"/>
      <x:c r="I144" s="61"/>
      <x:c r="J144" s="61"/>
      <x:c r="K144" s="61"/>
      <x:c r="L144" s="61"/>
      <x:c r="M144" s="61"/>
      <x:c r="N144" s="61"/>
      <x:c r="O144" s="61"/>
      <x:c r="P144" s="61"/>
      <x:c r="Q144" s="61"/>
    </x:row>
    <x:row r="145">
      <x:c r="A145" s="61"/>
      <x:c r="B145" s="61"/>
      <x:c r="C145" s="61"/>
      <x:c r="D145" s="61"/>
      <x:c r="E145" s="61"/>
      <x:c r="F145" s="61"/>
      <x:c r="G145" s="61"/>
      <x:c r="H145" s="61"/>
      <x:c r="I145" s="61"/>
      <x:c r="J145" s="61"/>
      <x:c r="K145" s="61"/>
      <x:c r="L145" s="61"/>
      <x:c r="M145" s="61"/>
      <x:c r="N145" s="61"/>
      <x:c r="O145" s="61"/>
      <x:c r="P145" s="61"/>
      <x:c r="Q145" s="61"/>
    </x:row>
    <x:row r="146">
      <x:c r="A146" s="61"/>
      <x:c r="B146" s="61"/>
      <x:c r="C146" s="61"/>
      <x:c r="D146" s="61"/>
      <x:c r="E146" s="61"/>
      <x:c r="F146" s="61"/>
      <x:c r="G146" s="61"/>
      <x:c r="H146" s="61"/>
      <x:c r="I146" s="61"/>
      <x:c r="J146" s="61"/>
      <x:c r="K146" s="61"/>
      <x:c r="L146" s="61"/>
      <x:c r="M146" s="61"/>
      <x:c r="N146" s="61"/>
      <x:c r="O146" s="61"/>
      <x:c r="P146" s="61"/>
      <x:c r="Q146" s="61"/>
    </x:row>
    <x:row r="147">
      <x:c r="A147" s="61"/>
      <x:c r="B147" s="61"/>
      <x:c r="C147" s="61"/>
      <x:c r="D147" s="61"/>
      <x:c r="E147" s="61"/>
      <x:c r="F147" s="61"/>
      <x:c r="G147" s="61"/>
      <x:c r="H147" s="61"/>
      <x:c r="I147" s="61"/>
      <x:c r="J147" s="61"/>
      <x:c r="K147" s="61"/>
      <x:c r="L147" s="61"/>
      <x:c r="M147" s="61"/>
      <x:c r="N147" s="61"/>
      <x:c r="O147" s="61"/>
      <x:c r="P147" s="61"/>
      <x:c r="Q147" s="61"/>
    </x:row>
    <x:row r="148">
      <x:c r="A148" s="61"/>
      <x:c r="B148" s="61"/>
      <x:c r="C148" s="61"/>
      <x:c r="D148" s="61"/>
      <x:c r="E148" s="61"/>
      <x:c r="F148" s="61"/>
      <x:c r="G148" s="61"/>
      <x:c r="H148" s="61"/>
      <x:c r="I148" s="61"/>
      <x:c r="J148" s="61"/>
      <x:c r="K148" s="61"/>
      <x:c r="L148" s="61"/>
      <x:c r="M148" s="61"/>
      <x:c r="N148" s="61"/>
      <x:c r="O148" s="61"/>
      <x:c r="P148" s="61"/>
      <x:c r="Q148" s="61"/>
    </x:row>
    <x:row r="149">
      <x:c r="A149" s="61"/>
      <x:c r="B149" s="61"/>
      <x:c r="C149" s="61"/>
      <x:c r="D149" s="61"/>
      <x:c r="E149" s="61"/>
      <x:c r="F149" s="61"/>
      <x:c r="G149" s="61"/>
      <x:c r="H149" s="61"/>
      <x:c r="I149" s="61"/>
      <x:c r="J149" s="61"/>
      <x:c r="K149" s="61"/>
      <x:c r="L149" s="61"/>
      <x:c r="M149" s="61"/>
      <x:c r="N149" s="61"/>
      <x:c r="O149" s="61"/>
      <x:c r="P149" s="61"/>
      <x:c r="Q149" s="61"/>
    </x:row>
    <x:row r="150">
      <x:c r="A150" s="61"/>
      <x:c r="B150" s="61"/>
      <x:c r="C150" s="61"/>
      <x:c r="D150" s="61"/>
      <x:c r="E150" s="61"/>
      <x:c r="F150" s="61"/>
      <x:c r="G150" s="61"/>
      <x:c r="H150" s="61"/>
      <x:c r="I150" s="61"/>
      <x:c r="J150" s="61"/>
      <x:c r="K150" s="61"/>
      <x:c r="L150" s="61"/>
      <x:c r="M150" s="61"/>
      <x:c r="N150" s="61"/>
      <x:c r="O150" s="61"/>
      <x:c r="P150" s="61"/>
      <x:c r="Q150" s="61"/>
    </x:row>
    <x:row r="151">
      <x:c r="A151" s="61"/>
      <x:c r="B151" s="61"/>
      <x:c r="C151" s="61"/>
      <x:c r="D151" s="61"/>
      <x:c r="E151" s="61"/>
      <x:c r="F151" s="61"/>
      <x:c r="G151" s="61"/>
      <x:c r="H151" s="61"/>
      <x:c r="I151" s="61"/>
      <x:c r="J151" s="61"/>
      <x:c r="K151" s="61"/>
      <x:c r="L151" s="61"/>
      <x:c r="M151" s="61"/>
      <x:c r="N151" s="61"/>
      <x:c r="O151" s="61"/>
      <x:c r="P151" s="61"/>
      <x:c r="Q151" s="61"/>
    </x:row>
    <x:row r="152">
      <x:c r="A152" s="61"/>
      <x:c r="B152" s="61"/>
      <x:c r="C152" s="61"/>
      <x:c r="D152" s="61"/>
      <x:c r="E152" s="61"/>
      <x:c r="F152" s="61"/>
      <x:c r="G152" s="61"/>
      <x:c r="H152" s="61"/>
      <x:c r="I152" s="61"/>
      <x:c r="J152" s="61"/>
      <x:c r="K152" s="61"/>
      <x:c r="L152" s="61"/>
      <x:c r="M152" s="61"/>
      <x:c r="N152" s="61"/>
      <x:c r="O152" s="61"/>
      <x:c r="P152" s="61"/>
      <x:c r="Q152" s="61"/>
    </x:row>
    <x:row r="153">
      <x:c r="A153" s="61"/>
      <x:c r="B153" s="61"/>
      <x:c r="C153" s="61"/>
      <x:c r="D153" s="61"/>
      <x:c r="E153" s="61"/>
      <x:c r="F153" s="61"/>
      <x:c r="G153" s="61"/>
      <x:c r="H153" s="61"/>
      <x:c r="I153" s="61"/>
      <x:c r="J153" s="61"/>
      <x:c r="K153" s="61"/>
      <x:c r="L153" s="61"/>
      <x:c r="M153" s="61"/>
      <x:c r="N153" s="61"/>
      <x:c r="O153" s="61"/>
      <x:c r="P153" s="61"/>
      <x:c r="Q153" s="61"/>
    </x:row>
    <x:row r="154">
      <x:c r="A154" s="61"/>
      <x:c r="B154" s="61"/>
      <x:c r="C154" s="61"/>
      <x:c r="D154" s="61"/>
      <x:c r="E154" s="61"/>
      <x:c r="F154" s="61"/>
      <x:c r="G154" s="61"/>
      <x:c r="H154" s="61"/>
      <x:c r="I154" s="61"/>
      <x:c r="J154" s="61"/>
      <x:c r="K154" s="61"/>
      <x:c r="L154" s="61"/>
      <x:c r="M154" s="61"/>
      <x:c r="N154" s="61"/>
      <x:c r="O154" s="61"/>
      <x:c r="P154" s="61"/>
      <x:c r="Q154" s="61"/>
    </x:row>
    <x:row r="155">
      <x:c r="A155" s="61"/>
      <x:c r="B155" s="61"/>
      <x:c r="C155" s="61"/>
      <x:c r="D155" s="61"/>
      <x:c r="E155" s="61"/>
      <x:c r="F155" s="61"/>
      <x:c r="G155" s="61"/>
      <x:c r="H155" s="61"/>
      <x:c r="I155" s="61"/>
      <x:c r="J155" s="61"/>
      <x:c r="K155" s="61"/>
      <x:c r="L155" s="61"/>
      <x:c r="M155" s="61"/>
      <x:c r="N155" s="61"/>
      <x:c r="O155" s="61"/>
      <x:c r="P155" s="61"/>
      <x:c r="Q155" s="61"/>
    </x:row>
    <x:row r="156">
      <x:c r="A156" s="61"/>
      <x:c r="B156" s="61"/>
      <x:c r="C156" s="61"/>
      <x:c r="D156" s="61"/>
      <x:c r="E156" s="61"/>
      <x:c r="F156" s="61"/>
      <x:c r="G156" s="61"/>
      <x:c r="H156" s="61"/>
      <x:c r="I156" s="61"/>
      <x:c r="J156" s="61"/>
      <x:c r="K156" s="61"/>
      <x:c r="L156" s="61"/>
      <x:c r="M156" s="61"/>
      <x:c r="N156" s="61"/>
      <x:c r="O156" s="61"/>
      <x:c r="P156" s="61"/>
      <x:c r="Q156" s="61"/>
    </x:row>
    <x:row r="157">
      <x:c r="A157" s="61"/>
      <x:c r="B157" s="61"/>
      <x:c r="C157" s="61"/>
      <x:c r="D157" s="61"/>
      <x:c r="E157" s="61"/>
      <x:c r="F157" s="61"/>
      <x:c r="G157" s="61"/>
      <x:c r="H157" s="61"/>
      <x:c r="I157" s="61"/>
      <x:c r="J157" s="61"/>
      <x:c r="K157" s="61"/>
      <x:c r="L157" s="61"/>
      <x:c r="M157" s="61"/>
      <x:c r="N157" s="61"/>
      <x:c r="O157" s="61"/>
      <x:c r="P157" s="61"/>
      <x:c r="Q157" s="61"/>
    </x:row>
    <x:row r="158">
      <x:c r="A158" s="61"/>
      <x:c r="B158" s="61"/>
      <x:c r="C158" s="61"/>
      <x:c r="D158" s="61"/>
      <x:c r="E158" s="61"/>
      <x:c r="F158" s="61"/>
      <x:c r="G158" s="61"/>
      <x:c r="H158" s="61"/>
      <x:c r="I158" s="61"/>
      <x:c r="J158" s="61"/>
      <x:c r="K158" s="61"/>
      <x:c r="L158" s="61"/>
      <x:c r="M158" s="61"/>
      <x:c r="N158" s="61"/>
      <x:c r="O158" s="61"/>
      <x:c r="P158" s="61"/>
      <x:c r="Q158" s="61"/>
    </x:row>
    <x:row r="159">
      <x:c r="A159" s="61"/>
      <x:c r="B159" s="61"/>
      <x:c r="C159" s="61"/>
      <x:c r="D159" s="61"/>
      <x:c r="E159" s="61"/>
      <x:c r="F159" s="61"/>
      <x:c r="G159" s="61"/>
      <x:c r="H159" s="61"/>
      <x:c r="I159" s="61"/>
      <x:c r="J159" s="61"/>
      <x:c r="K159" s="61"/>
      <x:c r="L159" s="61"/>
      <x:c r="M159" s="61"/>
      <x:c r="N159" s="61"/>
      <x:c r="O159" s="61"/>
      <x:c r="P159" s="61"/>
      <x:c r="Q159" s="61"/>
    </x:row>
    <x:row r="160">
      <x:c r="A160" s="61"/>
      <x:c r="B160" s="61"/>
      <x:c r="C160" s="61"/>
      <x:c r="D160" s="61"/>
      <x:c r="E160" s="61"/>
      <x:c r="F160" s="61"/>
      <x:c r="G160" s="61"/>
      <x:c r="H160" s="61"/>
      <x:c r="I160" s="61"/>
      <x:c r="J160" s="61"/>
      <x:c r="K160" s="61"/>
      <x:c r="L160" s="61"/>
      <x:c r="M160" s="61"/>
      <x:c r="N160" s="61"/>
      <x:c r="O160" s="61"/>
      <x:c r="P160" s="61"/>
      <x:c r="Q160" s="61"/>
    </x:row>
    <x:row r="161">
      <x:c r="A161" s="61"/>
      <x:c r="B161" s="61"/>
      <x:c r="C161" s="61"/>
      <x:c r="D161" s="61"/>
      <x:c r="E161" s="61"/>
      <x:c r="F161" s="61"/>
      <x:c r="G161" s="61"/>
      <x:c r="H161" s="61"/>
      <x:c r="I161" s="61"/>
      <x:c r="J161" s="61"/>
      <x:c r="K161" s="61"/>
      <x:c r="L161" s="61"/>
      <x:c r="M161" s="61"/>
      <x:c r="N161" s="61"/>
      <x:c r="O161" s="61"/>
      <x:c r="P161" s="61"/>
      <x:c r="Q161" s="61"/>
    </x:row>
    <x:row r="162">
      <x:c r="A162" s="61"/>
      <x:c r="B162" s="61"/>
      <x:c r="C162" s="61"/>
      <x:c r="D162" s="61"/>
      <x:c r="E162" s="61"/>
      <x:c r="F162" s="61"/>
      <x:c r="G162" s="61"/>
      <x:c r="H162" s="61"/>
      <x:c r="I162" s="61"/>
      <x:c r="J162" s="61"/>
      <x:c r="K162" s="61"/>
      <x:c r="L162" s="61"/>
      <x:c r="M162" s="61"/>
      <x:c r="N162" s="61"/>
      <x:c r="O162" s="61"/>
      <x:c r="P162" s="61"/>
      <x:c r="Q162" s="61"/>
    </x:row>
    <x:row r="163">
      <x:c r="A163" s="61"/>
      <x:c r="B163" s="61"/>
      <x:c r="C163" s="61"/>
      <x:c r="D163" s="61"/>
      <x:c r="E163" s="61"/>
      <x:c r="F163" s="61"/>
      <x:c r="G163" s="61"/>
      <x:c r="H163" s="61"/>
      <x:c r="I163" s="61"/>
      <x:c r="J163" s="61"/>
      <x:c r="K163" s="61"/>
      <x:c r="L163" s="61"/>
      <x:c r="M163" s="61"/>
      <x:c r="N163" s="61"/>
      <x:c r="O163" s="61"/>
      <x:c r="P163" s="61"/>
      <x:c r="Q163" s="61"/>
    </x:row>
    <x:row r="164">
      <x:c r="A164" s="61"/>
      <x:c r="B164" s="61"/>
      <x:c r="C164" s="61"/>
      <x:c r="D164" s="61"/>
      <x:c r="E164" s="61"/>
      <x:c r="F164" s="61"/>
      <x:c r="G164" s="61"/>
      <x:c r="H164" s="61"/>
      <x:c r="I164" s="61"/>
      <x:c r="J164" s="61"/>
      <x:c r="K164" s="61"/>
      <x:c r="L164" s="61"/>
      <x:c r="M164" s="61"/>
      <x:c r="N164" s="61"/>
      <x:c r="O164" s="61"/>
      <x:c r="P164" s="61"/>
      <x:c r="Q164" s="61"/>
    </x:row>
    <x:row r="165">
      <x:c r="A165" s="61"/>
      <x:c r="B165" s="61"/>
      <x:c r="C165" s="61"/>
      <x:c r="D165" s="61"/>
      <x:c r="E165" s="61"/>
      <x:c r="F165" s="61"/>
      <x:c r="G165" s="61"/>
      <x:c r="H165" s="61"/>
      <x:c r="I165" s="61"/>
      <x:c r="J165" s="61"/>
      <x:c r="K165" s="61"/>
      <x:c r="L165" s="61"/>
      <x:c r="M165" s="61"/>
      <x:c r="N165" s="61"/>
      <x:c r="O165" s="61"/>
      <x:c r="P165" s="61"/>
      <x:c r="Q165" s="61"/>
    </x:row>
    <x:row r="166">
      <x:c r="A166" s="61"/>
      <x:c r="B166" s="61"/>
      <x:c r="C166" s="61"/>
      <x:c r="D166" s="61"/>
      <x:c r="E166" s="61"/>
      <x:c r="F166" s="61"/>
      <x:c r="G166" s="61"/>
      <x:c r="H166" s="61"/>
      <x:c r="I166" s="61"/>
      <x:c r="J166" s="61"/>
      <x:c r="K166" s="61"/>
      <x:c r="L166" s="61"/>
      <x:c r="M166" s="61"/>
      <x:c r="N166" s="61"/>
      <x:c r="O166" s="61"/>
      <x:c r="P166" s="61"/>
      <x:c r="Q166" s="61"/>
    </x:row>
    <x:row r="167">
      <x:c r="A167" s="61"/>
      <x:c r="B167" s="61"/>
      <x:c r="C167" s="61"/>
      <x:c r="D167" s="61"/>
      <x:c r="E167" s="61"/>
      <x:c r="F167" s="61"/>
      <x:c r="G167" s="61"/>
      <x:c r="H167" s="61"/>
      <x:c r="I167" s="61"/>
      <x:c r="J167" s="61"/>
      <x:c r="K167" s="61"/>
      <x:c r="L167" s="61"/>
      <x:c r="M167" s="61"/>
      <x:c r="N167" s="61"/>
      <x:c r="O167" s="61"/>
      <x:c r="P167" s="61"/>
      <x:c r="Q167" s="61"/>
    </x:row>
    <x:row r="168">
      <x:c r="A168" s="61"/>
      <x:c r="B168" s="61"/>
      <x:c r="C168" s="61"/>
      <x:c r="D168" s="61"/>
      <x:c r="E168" s="61"/>
      <x:c r="F168" s="61"/>
      <x:c r="G168" s="61"/>
      <x:c r="H168" s="61"/>
      <x:c r="I168" s="61"/>
      <x:c r="J168" s="61"/>
      <x:c r="K168" s="61"/>
      <x:c r="L168" s="61"/>
      <x:c r="M168" s="61"/>
      <x:c r="N168" s="61"/>
      <x:c r="O168" s="61"/>
      <x:c r="P168" s="61"/>
      <x:c r="Q168" s="61"/>
    </x:row>
    <x:row r="169">
      <x:c r="A169" s="61"/>
      <x:c r="B169" s="61"/>
      <x:c r="C169" s="61"/>
      <x:c r="D169" s="61"/>
      <x:c r="E169" s="61"/>
      <x:c r="F169" s="61"/>
      <x:c r="G169" s="61"/>
      <x:c r="H169" s="61"/>
      <x:c r="I169" s="61"/>
      <x:c r="J169" s="61"/>
      <x:c r="K169" s="61"/>
      <x:c r="L169" s="61"/>
      <x:c r="M169" s="61"/>
      <x:c r="N169" s="61"/>
      <x:c r="O169" s="61"/>
      <x:c r="P169" s="61"/>
      <x:c r="Q169" s="61"/>
    </x:row>
    <x:row r="170">
      <x:c r="A170" s="61"/>
      <x:c r="B170" s="61"/>
      <x:c r="C170" s="61"/>
      <x:c r="D170" s="61"/>
      <x:c r="E170" s="61"/>
      <x:c r="F170" s="61"/>
      <x:c r="G170" s="61"/>
      <x:c r="H170" s="61"/>
      <x:c r="I170" s="61"/>
      <x:c r="J170" s="61"/>
      <x:c r="K170" s="61"/>
      <x:c r="L170" s="61"/>
      <x:c r="M170" s="61"/>
      <x:c r="N170" s="61"/>
      <x:c r="O170" s="61"/>
      <x:c r="P170" s="61"/>
      <x:c r="Q170" s="61"/>
    </x:row>
    <x:row r="171">
      <x:c r="A171" s="61"/>
      <x:c r="B171" s="61"/>
      <x:c r="C171" s="61"/>
      <x:c r="D171" s="61"/>
      <x:c r="E171" s="61"/>
      <x:c r="F171" s="61"/>
      <x:c r="G171" s="61"/>
      <x:c r="H171" s="61"/>
      <x:c r="I171" s="61"/>
      <x:c r="J171" s="61"/>
      <x:c r="K171" s="61"/>
      <x:c r="L171" s="61"/>
      <x:c r="M171" s="61"/>
      <x:c r="N171" s="61"/>
      <x:c r="O171" s="61"/>
      <x:c r="P171" s="61"/>
      <x:c r="Q171" s="61"/>
    </x:row>
    <x:row r="172">
      <x:c r="A172" s="61"/>
      <x:c r="B172" s="61"/>
      <x:c r="C172" s="61"/>
      <x:c r="D172" s="61"/>
      <x:c r="E172" s="61"/>
      <x:c r="F172" s="61"/>
      <x:c r="G172" s="61"/>
      <x:c r="H172" s="61"/>
      <x:c r="I172" s="61"/>
      <x:c r="J172" s="61"/>
      <x:c r="K172" s="61"/>
      <x:c r="L172" s="61"/>
      <x:c r="M172" s="61"/>
      <x:c r="N172" s="61"/>
      <x:c r="O172" s="61"/>
      <x:c r="P172" s="61"/>
      <x:c r="Q172" s="61"/>
    </x:row>
    <x:row r="173">
      <x:c r="A173" s="61"/>
      <x:c r="B173" s="61"/>
      <x:c r="C173" s="61"/>
      <x:c r="D173" s="61"/>
      <x:c r="E173" s="61"/>
      <x:c r="F173" s="61"/>
      <x:c r="G173" s="61"/>
      <x:c r="H173" s="61"/>
      <x:c r="I173" s="61"/>
      <x:c r="J173" s="61"/>
      <x:c r="K173" s="61"/>
      <x:c r="L173" s="61"/>
      <x:c r="M173" s="61"/>
      <x:c r="N173" s="61"/>
      <x:c r="O173" s="61"/>
      <x:c r="P173" s="61"/>
      <x:c r="Q173" s="61"/>
    </x:row>
    <x:row r="174">
      <x:c r="A174" s="61"/>
      <x:c r="B174" s="61"/>
      <x:c r="C174" s="61"/>
      <x:c r="D174" s="61"/>
      <x:c r="E174" s="61"/>
      <x:c r="F174" s="61"/>
      <x:c r="G174" s="61"/>
      <x:c r="H174" s="61"/>
      <x:c r="I174" s="61"/>
      <x:c r="J174" s="61"/>
      <x:c r="K174" s="61"/>
      <x:c r="L174" s="61"/>
      <x:c r="M174" s="61"/>
      <x:c r="N174" s="61"/>
      <x:c r="O174" s="61"/>
      <x:c r="P174" s="61"/>
      <x:c r="Q174" s="61"/>
    </x:row>
    <x:row r="175">
      <x:c r="A175" s="61"/>
      <x:c r="B175" s="61"/>
      <x:c r="C175" s="61"/>
      <x:c r="D175" s="61"/>
      <x:c r="E175" s="61"/>
      <x:c r="F175" s="61"/>
      <x:c r="G175" s="61"/>
      <x:c r="H175" s="61"/>
      <x:c r="I175" s="61"/>
      <x:c r="J175" s="61"/>
      <x:c r="K175" s="61"/>
      <x:c r="L175" s="61"/>
      <x:c r="M175" s="61"/>
      <x:c r="N175" s="61"/>
      <x:c r="O175" s="61"/>
      <x:c r="P175" s="61"/>
      <x:c r="Q175" s="61"/>
    </x:row>
    <x:row r="176">
      <x:c r="A176" s="61"/>
      <x:c r="B176" s="61"/>
      <x:c r="C176" s="61"/>
      <x:c r="D176" s="61"/>
      <x:c r="E176" s="61"/>
      <x:c r="F176" s="61"/>
      <x:c r="G176" s="61"/>
      <x:c r="H176" s="61"/>
      <x:c r="I176" s="61"/>
      <x:c r="J176" s="61"/>
      <x:c r="K176" s="61"/>
      <x:c r="L176" s="61"/>
      <x:c r="M176" s="61"/>
      <x:c r="N176" s="61"/>
      <x:c r="O176" s="61"/>
      <x:c r="P176" s="61"/>
      <x:c r="Q176" s="61"/>
    </x:row>
    <x:row r="177">
      <x:c r="A177" s="61"/>
      <x:c r="B177" s="61"/>
      <x:c r="C177" s="61"/>
      <x:c r="D177" s="61"/>
      <x:c r="E177" s="61"/>
      <x:c r="F177" s="61"/>
      <x:c r="G177" s="61"/>
      <x:c r="H177" s="61"/>
      <x:c r="I177" s="61"/>
      <x:c r="J177" s="61"/>
      <x:c r="K177" s="61"/>
      <x:c r="L177" s="61"/>
      <x:c r="M177" s="61"/>
      <x:c r="N177" s="61"/>
      <x:c r="O177" s="61"/>
      <x:c r="P177" s="61"/>
      <x:c r="Q177" s="61"/>
    </x:row>
    <x:row r="178">
      <x:c r="A178" s="61"/>
      <x:c r="B178" s="61"/>
      <x:c r="C178" s="61"/>
      <x:c r="D178" s="61"/>
      <x:c r="E178" s="61"/>
      <x:c r="F178" s="61"/>
      <x:c r="G178" s="61"/>
      <x:c r="H178" s="61"/>
      <x:c r="I178" s="61"/>
      <x:c r="J178" s="61"/>
      <x:c r="K178" s="61"/>
      <x:c r="L178" s="61"/>
      <x:c r="M178" s="61"/>
      <x:c r="N178" s="61"/>
      <x:c r="O178" s="61"/>
      <x:c r="P178" s="61"/>
      <x:c r="Q178" s="61"/>
    </x:row>
    <x:row r="179">
      <x:c r="A179" s="61"/>
      <x:c r="B179" s="61"/>
      <x:c r="C179" s="61"/>
      <x:c r="D179" s="61"/>
      <x:c r="E179" s="61"/>
      <x:c r="F179" s="61"/>
      <x:c r="G179" s="61"/>
      <x:c r="H179" s="61"/>
      <x:c r="I179" s="61"/>
      <x:c r="J179" s="61"/>
      <x:c r="K179" s="61"/>
      <x:c r="L179" s="61"/>
      <x:c r="M179" s="61"/>
      <x:c r="N179" s="61"/>
      <x:c r="O179" s="61"/>
      <x:c r="P179" s="61"/>
      <x:c r="Q179" s="61"/>
    </x:row>
    <x:row r="180">
      <x:c r="A180" s="61"/>
      <x:c r="B180" s="61"/>
      <x:c r="C180" s="61"/>
      <x:c r="D180" s="61"/>
      <x:c r="E180" s="61"/>
      <x:c r="F180" s="61"/>
      <x:c r="G180" s="61"/>
      <x:c r="H180" s="61"/>
      <x:c r="I180" s="61"/>
      <x:c r="J180" s="61"/>
      <x:c r="K180" s="61"/>
      <x:c r="L180" s="61"/>
      <x:c r="M180" s="61"/>
      <x:c r="N180" s="61"/>
      <x:c r="O180" s="61"/>
      <x:c r="P180" s="61"/>
      <x:c r="Q180" s="61"/>
    </x:row>
    <x:row r="181">
      <x:c r="A181" s="61"/>
      <x:c r="B181" s="61"/>
      <x:c r="C181" s="61"/>
      <x:c r="D181" s="61"/>
      <x:c r="E181" s="61"/>
      <x:c r="F181" s="61"/>
      <x:c r="G181" s="61"/>
      <x:c r="H181" s="61"/>
      <x:c r="I181" s="61"/>
      <x:c r="J181" s="61"/>
      <x:c r="K181" s="61"/>
      <x:c r="L181" s="61"/>
      <x:c r="M181" s="61"/>
      <x:c r="N181" s="61"/>
      <x:c r="O181" s="61"/>
      <x:c r="P181" s="61"/>
      <x:c r="Q181" s="61"/>
    </x:row>
    <x:row r="182">
      <x:c r="A182" s="61"/>
      <x:c r="B182" s="61"/>
      <x:c r="C182" s="61"/>
      <x:c r="D182" s="61"/>
      <x:c r="E182" s="61"/>
      <x:c r="F182" s="61"/>
      <x:c r="G182" s="61"/>
      <x:c r="H182" s="61"/>
      <x:c r="I182" s="61"/>
      <x:c r="J182" s="61"/>
      <x:c r="K182" s="61"/>
      <x:c r="L182" s="61"/>
      <x:c r="M182" s="61"/>
      <x:c r="N182" s="61"/>
      <x:c r="O182" s="61"/>
      <x:c r="P182" s="61"/>
      <x:c r="Q182" s="61"/>
    </x:row>
    <x:row r="183">
      <x:c r="A183" s="61"/>
      <x:c r="B183" s="61"/>
      <x:c r="C183" s="61"/>
      <x:c r="D183" s="61"/>
      <x:c r="E183" s="61"/>
      <x:c r="F183" s="61"/>
      <x:c r="G183" s="61"/>
      <x:c r="H183" s="61"/>
      <x:c r="I183" s="61"/>
      <x:c r="J183" s="61"/>
      <x:c r="K183" s="61"/>
      <x:c r="L183" s="61"/>
      <x:c r="M183" s="61"/>
      <x:c r="N183" s="61"/>
      <x:c r="O183" s="61"/>
      <x:c r="P183" s="61"/>
      <x:c r="Q183" s="61"/>
    </x:row>
    <x:row r="184">
      <x:c r="A184" s="61"/>
      <x:c r="B184" s="61"/>
      <x:c r="C184" s="61"/>
      <x:c r="D184" s="61"/>
      <x:c r="E184" s="61"/>
      <x:c r="F184" s="61"/>
      <x:c r="G184" s="61"/>
      <x:c r="H184" s="61"/>
      <x:c r="I184" s="61"/>
      <x:c r="J184" s="61"/>
      <x:c r="K184" s="61"/>
      <x:c r="L184" s="61"/>
      <x:c r="M184" s="61"/>
      <x:c r="N184" s="61"/>
      <x:c r="O184" s="61"/>
      <x:c r="P184" s="61"/>
      <x:c r="Q184" s="61"/>
    </x:row>
    <x:row r="185">
      <x:c r="A185" s="61"/>
      <x:c r="B185" s="61"/>
      <x:c r="C185" s="61"/>
      <x:c r="D185" s="61"/>
      <x:c r="E185" s="61"/>
      <x:c r="F185" s="61"/>
      <x:c r="G185" s="61"/>
      <x:c r="H185" s="61"/>
      <x:c r="I185" s="61"/>
      <x:c r="J185" s="61"/>
      <x:c r="K185" s="61"/>
      <x:c r="L185" s="61"/>
      <x:c r="M185" s="61"/>
      <x:c r="N185" s="61"/>
      <x:c r="O185" s="61"/>
      <x:c r="P185" s="61"/>
      <x:c r="Q185" s="61"/>
    </x:row>
    <x:row r="186">
      <x:c r="A186" s="61"/>
      <x:c r="B186" s="61"/>
      <x:c r="C186" s="61"/>
      <x:c r="D186" s="61"/>
      <x:c r="E186" s="61"/>
      <x:c r="F186" s="61"/>
      <x:c r="G186" s="61"/>
      <x:c r="H186" s="61"/>
      <x:c r="I186" s="61"/>
      <x:c r="J186" s="61"/>
      <x:c r="K186" s="61"/>
      <x:c r="L186" s="61"/>
      <x:c r="M186" s="61"/>
      <x:c r="N186" s="61"/>
      <x:c r="O186" s="61"/>
      <x:c r="P186" s="61"/>
      <x:c r="Q186" s="61"/>
    </x:row>
    <x:row r="187">
      <x:c r="A187" s="61"/>
      <x:c r="B187" s="61"/>
      <x:c r="C187" s="61"/>
      <x:c r="D187" s="61"/>
      <x:c r="E187" s="61"/>
      <x:c r="F187" s="61"/>
      <x:c r="G187" s="61"/>
      <x:c r="H187" s="61"/>
      <x:c r="I187" s="61"/>
      <x:c r="J187" s="61"/>
      <x:c r="K187" s="61"/>
      <x:c r="L187" s="61"/>
      <x:c r="M187" s="61"/>
      <x:c r="N187" s="61"/>
      <x:c r="O187" s="61"/>
      <x:c r="P187" s="61"/>
      <x:c r="Q187" s="61"/>
    </x:row>
    <x:row r="188">
      <x:c r="A188" s="61"/>
      <x:c r="B188" s="61"/>
      <x:c r="C188" s="61"/>
      <x:c r="D188" s="61"/>
      <x:c r="E188" s="61"/>
      <x:c r="F188" s="61"/>
      <x:c r="G188" s="61"/>
      <x:c r="H188" s="61"/>
      <x:c r="I188" s="61"/>
      <x:c r="J188" s="61"/>
      <x:c r="K188" s="61"/>
      <x:c r="L188" s="61"/>
      <x:c r="M188" s="61"/>
      <x:c r="N188" s="61"/>
      <x:c r="O188" s="61"/>
      <x:c r="P188" s="61"/>
      <x:c r="Q188" s="61"/>
    </x:row>
    <x:row r="189">
      <x:c r="A189" s="61"/>
      <x:c r="B189" s="61"/>
      <x:c r="C189" s="61"/>
      <x:c r="D189" s="61"/>
      <x:c r="E189" s="61"/>
      <x:c r="F189" s="61"/>
      <x:c r="G189" s="61"/>
      <x:c r="H189" s="61"/>
      <x:c r="I189" s="61"/>
      <x:c r="J189" s="61"/>
      <x:c r="K189" s="61"/>
      <x:c r="L189" s="61"/>
      <x:c r="M189" s="61"/>
      <x:c r="N189" s="61"/>
      <x:c r="O189" s="61"/>
      <x:c r="P189" s="61"/>
      <x:c r="Q189" s="61"/>
    </x:row>
    <x:row r="190">
      <x:c r="A190" s="61"/>
      <x:c r="B190" s="61"/>
      <x:c r="C190" s="61"/>
      <x:c r="D190" s="61"/>
      <x:c r="E190" s="61"/>
      <x:c r="F190" s="61"/>
      <x:c r="G190" s="61"/>
      <x:c r="H190" s="61"/>
      <x:c r="I190" s="61"/>
      <x:c r="J190" s="61"/>
      <x:c r="K190" s="61"/>
      <x:c r="L190" s="61"/>
      <x:c r="M190" s="61"/>
      <x:c r="N190" s="61"/>
      <x:c r="O190" s="61"/>
      <x:c r="P190" s="61"/>
      <x:c r="Q190" s="61"/>
    </x:row>
    <x:row r="191">
      <x:c r="A191" s="61"/>
      <x:c r="B191" s="61"/>
      <x:c r="C191" s="61"/>
      <x:c r="D191" s="61"/>
      <x:c r="E191" s="61"/>
      <x:c r="F191" s="61"/>
      <x:c r="G191" s="61"/>
      <x:c r="H191" s="61"/>
      <x:c r="I191" s="61"/>
      <x:c r="J191" s="61"/>
      <x:c r="K191" s="61"/>
      <x:c r="L191" s="61"/>
      <x:c r="M191" s="61"/>
      <x:c r="N191" s="61"/>
      <x:c r="O191" s="61"/>
      <x:c r="P191" s="61"/>
      <x:c r="Q191" s="61"/>
    </x:row>
    <x:row r="192">
      <x:c r="A192" s="61"/>
      <x:c r="B192" s="61"/>
      <x:c r="C192" s="61"/>
      <x:c r="D192" s="61"/>
      <x:c r="E192" s="61"/>
      <x:c r="F192" s="61"/>
      <x:c r="G192" s="61"/>
      <x:c r="H192" s="61"/>
      <x:c r="I192" s="61"/>
      <x:c r="J192" s="61"/>
      <x:c r="K192" s="61"/>
      <x:c r="L192" s="61"/>
      <x:c r="M192" s="61"/>
      <x:c r="N192" s="61"/>
      <x:c r="O192" s="61"/>
      <x:c r="P192" s="61"/>
      <x:c r="Q192" s="61"/>
    </x:row>
    <x:row r="193">
      <x:c r="A193" s="61"/>
      <x:c r="B193" s="61"/>
      <x:c r="C193" s="61"/>
      <x:c r="D193" s="61"/>
      <x:c r="E193" s="61"/>
      <x:c r="F193" s="61"/>
      <x:c r="G193" s="61"/>
      <x:c r="H193" s="61"/>
      <x:c r="I193" s="61"/>
      <x:c r="J193" s="61"/>
      <x:c r="K193" s="61"/>
      <x:c r="L193" s="61"/>
      <x:c r="M193" s="61"/>
      <x:c r="N193" s="61"/>
      <x:c r="O193" s="61"/>
      <x:c r="P193" s="61"/>
      <x:c r="Q193" s="61"/>
    </x:row>
    <x:row r="194">
      <x:c r="A194" s="61"/>
      <x:c r="B194" s="61"/>
      <x:c r="C194" s="61"/>
      <x:c r="D194" s="61"/>
      <x:c r="E194" s="61"/>
      <x:c r="F194" s="61"/>
      <x:c r="G194" s="61"/>
      <x:c r="H194" s="61"/>
      <x:c r="I194" s="61"/>
      <x:c r="J194" s="61"/>
      <x:c r="K194" s="61"/>
      <x:c r="L194" s="61"/>
      <x:c r="M194" s="61"/>
      <x:c r="N194" s="61"/>
      <x:c r="O194" s="61"/>
      <x:c r="P194" s="61"/>
      <x:c r="Q194" s="61"/>
    </x:row>
    <x:row r="195">
      <x:c r="A195" s="61"/>
      <x:c r="B195" s="61"/>
      <x:c r="C195" s="61"/>
      <x:c r="D195" s="61"/>
      <x:c r="E195" s="61"/>
      <x:c r="F195" s="61"/>
      <x:c r="G195" s="61"/>
      <x:c r="H195" s="61"/>
      <x:c r="I195" s="61"/>
      <x:c r="J195" s="61"/>
      <x:c r="K195" s="61"/>
      <x:c r="L195" s="61"/>
      <x:c r="M195" s="61"/>
      <x:c r="N195" s="61"/>
      <x:c r="O195" s="61"/>
      <x:c r="P195" s="61"/>
      <x:c r="Q195" s="61"/>
    </x:row>
    <x:row r="196">
      <x:c r="A196" s="61"/>
      <x:c r="B196" s="61"/>
      <x:c r="C196" s="61"/>
      <x:c r="D196" s="61"/>
      <x:c r="E196" s="61"/>
      <x:c r="F196" s="61"/>
      <x:c r="G196" s="61"/>
      <x:c r="H196" s="61"/>
      <x:c r="I196" s="61"/>
      <x:c r="J196" s="61"/>
      <x:c r="K196" s="61"/>
      <x:c r="L196" s="61"/>
      <x:c r="M196" s="61"/>
      <x:c r="N196" s="61"/>
      <x:c r="O196" s="61"/>
      <x:c r="P196" s="61"/>
      <x:c r="Q196" s="61"/>
    </x:row>
    <x:row r="197">
      <x:c r="A197" s="61"/>
      <x:c r="B197" s="61"/>
      <x:c r="C197" s="61"/>
      <x:c r="D197" s="61"/>
      <x:c r="E197" s="61"/>
      <x:c r="F197" s="61"/>
      <x:c r="G197" s="61"/>
      <x:c r="H197" s="61"/>
      <x:c r="I197" s="61"/>
      <x:c r="J197" s="61"/>
      <x:c r="K197" s="61"/>
      <x:c r="L197" s="61"/>
      <x:c r="M197" s="61"/>
      <x:c r="N197" s="61"/>
      <x:c r="O197" s="61"/>
      <x:c r="P197" s="61"/>
      <x:c r="Q197" s="61"/>
    </x:row>
    <x:row r="198">
      <x:c r="A198" s="61"/>
      <x:c r="B198" s="61"/>
      <x:c r="C198" s="61"/>
      <x:c r="D198" s="61"/>
      <x:c r="E198" s="61"/>
      <x:c r="F198" s="61"/>
      <x:c r="G198" s="61"/>
      <x:c r="H198" s="61"/>
      <x:c r="I198" s="61"/>
      <x:c r="J198" s="61"/>
      <x:c r="K198" s="61"/>
      <x:c r="L198" s="61"/>
      <x:c r="M198" s="61"/>
      <x:c r="N198" s="61"/>
      <x:c r="O198" s="61"/>
      <x:c r="P198" s="61"/>
      <x:c r="Q198" s="61"/>
    </x:row>
    <x:row r="199">
      <x:c r="A199" s="61"/>
      <x:c r="B199" s="61"/>
      <x:c r="C199" s="61"/>
      <x:c r="D199" s="61"/>
      <x:c r="E199" s="61"/>
      <x:c r="F199" s="61"/>
      <x:c r="G199" s="61"/>
      <x:c r="H199" s="61"/>
      <x:c r="I199" s="61"/>
      <x:c r="J199" s="61"/>
      <x:c r="K199" s="61"/>
      <x:c r="L199" s="61"/>
      <x:c r="M199" s="61"/>
      <x:c r="N199" s="61"/>
      <x:c r="O199" s="61"/>
      <x:c r="P199" s="61"/>
      <x:c r="Q199" s="61"/>
    </x:row>
    <x:row r="200">
      <x:c r="A200" s="61"/>
      <x:c r="B200" s="61"/>
      <x:c r="C200" s="61"/>
      <x:c r="D200" s="61"/>
      <x:c r="E200" s="61"/>
      <x:c r="F200" s="61"/>
      <x:c r="G200" s="61"/>
      <x:c r="H200" s="61"/>
      <x:c r="I200" s="61"/>
      <x:c r="J200" s="61"/>
      <x:c r="K200" s="61"/>
      <x:c r="L200" s="61"/>
      <x:c r="M200" s="61"/>
      <x:c r="N200" s="61"/>
      <x:c r="O200" s="61"/>
      <x:c r="P200" s="61"/>
      <x:c r="Q200" s="61"/>
    </x:row>
    <x:row r="201">
      <x:c r="A201" s="61"/>
      <x:c r="B201" s="61"/>
      <x:c r="C201" s="61"/>
      <x:c r="D201" s="61"/>
      <x:c r="E201" s="61"/>
      <x:c r="F201" s="61"/>
      <x:c r="G201" s="61"/>
      <x:c r="H201" s="61"/>
      <x:c r="I201" s="61"/>
      <x:c r="J201" s="61"/>
      <x:c r="K201" s="61"/>
      <x:c r="L201" s="61"/>
      <x:c r="M201" s="61"/>
      <x:c r="N201" s="61"/>
      <x:c r="O201" s="61"/>
      <x:c r="P201" s="61"/>
      <x:c r="Q201" s="61"/>
    </x:row>
    <x:row r="202">
      <x:c r="A202" s="61"/>
      <x:c r="B202" s="61"/>
      <x:c r="C202" s="61"/>
      <x:c r="D202" s="61"/>
      <x:c r="E202" s="61"/>
      <x:c r="F202" s="61"/>
      <x:c r="G202" s="61"/>
      <x:c r="H202" s="61"/>
      <x:c r="I202" s="61"/>
      <x:c r="J202" s="61"/>
      <x:c r="K202" s="61"/>
      <x:c r="L202" s="61"/>
      <x:c r="M202" s="61"/>
      <x:c r="N202" s="61"/>
      <x:c r="O202" s="61"/>
      <x:c r="P202" s="61"/>
      <x:c r="Q202" s="61"/>
    </x:row>
    <x:row r="203">
      <x:c r="A203" s="61"/>
      <x:c r="B203" s="61"/>
      <x:c r="C203" s="61"/>
      <x:c r="D203" s="61"/>
      <x:c r="E203" s="61"/>
      <x:c r="F203" s="61"/>
      <x:c r="G203" s="61"/>
      <x:c r="H203" s="61"/>
      <x:c r="I203" s="61"/>
      <x:c r="J203" s="61"/>
      <x:c r="K203" s="61"/>
      <x:c r="L203" s="61"/>
      <x:c r="M203" s="61"/>
      <x:c r="N203" s="61"/>
      <x:c r="O203" s="61"/>
      <x:c r="P203" s="61"/>
      <x:c r="Q203" s="61"/>
    </x:row>
    <x:row r="204">
      <x:c r="A204" s="61"/>
      <x:c r="B204" s="61"/>
      <x:c r="C204" s="61"/>
      <x:c r="D204" s="61"/>
      <x:c r="E204" s="61"/>
      <x:c r="F204" s="61"/>
      <x:c r="G204" s="61"/>
      <x:c r="H204" s="61"/>
      <x:c r="I204" s="61"/>
      <x:c r="J204" s="61"/>
      <x:c r="K204" s="61"/>
      <x:c r="L204" s="61"/>
      <x:c r="M204" s="61"/>
      <x:c r="N204" s="61"/>
      <x:c r="O204" s="61"/>
      <x:c r="P204" s="61"/>
      <x:c r="Q204" s="61"/>
    </x:row>
    <x:row r="205">
      <x:c r="A205" s="61"/>
      <x:c r="B205" s="61"/>
      <x:c r="C205" s="61"/>
      <x:c r="D205" s="61"/>
      <x:c r="E205" s="61"/>
      <x:c r="F205" s="61"/>
      <x:c r="G205" s="61"/>
      <x:c r="H205" s="61"/>
      <x:c r="I205" s="61"/>
      <x:c r="J205" s="61"/>
      <x:c r="K205" s="61"/>
      <x:c r="L205" s="61"/>
      <x:c r="M205" s="61"/>
      <x:c r="N205" s="61"/>
      <x:c r="O205" s="61"/>
      <x:c r="P205" s="61"/>
      <x:c r="Q205" s="61"/>
    </x:row>
    <x:row r="206">
      <x:c r="A206" s="61"/>
      <x:c r="B206" s="61"/>
      <x:c r="C206" s="61"/>
      <x:c r="D206" s="61"/>
      <x:c r="E206" s="61"/>
      <x:c r="F206" s="61"/>
      <x:c r="G206" s="61"/>
      <x:c r="H206" s="61"/>
      <x:c r="I206" s="61"/>
      <x:c r="J206" s="61"/>
      <x:c r="K206" s="61"/>
      <x:c r="L206" s="61"/>
      <x:c r="M206" s="61"/>
      <x:c r="N206" s="61"/>
      <x:c r="O206" s="61"/>
      <x:c r="P206" s="61"/>
      <x:c r="Q206" s="61"/>
    </x:row>
    <x:row r="207">
      <x:c r="A207" s="61"/>
      <x:c r="B207" s="61"/>
      <x:c r="C207" s="61"/>
      <x:c r="D207" s="61"/>
      <x:c r="E207" s="61"/>
      <x:c r="F207" s="61"/>
      <x:c r="G207" s="61"/>
      <x:c r="H207" s="61"/>
      <x:c r="I207" s="61"/>
      <x:c r="J207" s="61"/>
      <x:c r="K207" s="61"/>
      <x:c r="L207" s="61"/>
      <x:c r="M207" s="61"/>
      <x:c r="N207" s="61"/>
      <x:c r="O207" s="61"/>
      <x:c r="P207" s="61"/>
      <x:c r="Q207" s="61"/>
    </x:row>
    <x:row r="208">
      <x:c r="A208" s="61"/>
      <x:c r="B208" s="61"/>
      <x:c r="C208" s="61"/>
      <x:c r="D208" s="61"/>
      <x:c r="E208" s="61"/>
      <x:c r="F208" s="61"/>
      <x:c r="G208" s="61"/>
      <x:c r="H208" s="61"/>
      <x:c r="I208" s="61"/>
      <x:c r="J208" s="61"/>
      <x:c r="K208" s="61"/>
      <x:c r="L208" s="61"/>
      <x:c r="M208" s="61"/>
      <x:c r="N208" s="61"/>
      <x:c r="O208" s="61"/>
      <x:c r="P208" s="61"/>
      <x:c r="Q208" s="61"/>
    </x:row>
    <x:row r="209">
      <x:c r="A209" s="61"/>
      <x:c r="B209" s="61"/>
      <x:c r="C209" s="61"/>
      <x:c r="D209" s="61"/>
      <x:c r="E209" s="61"/>
      <x:c r="F209" s="61"/>
      <x:c r="G209" s="61"/>
      <x:c r="H209" s="61"/>
      <x:c r="I209" s="61"/>
      <x:c r="J209" s="61"/>
      <x:c r="K209" s="61"/>
      <x:c r="L209" s="61"/>
      <x:c r="M209" s="61"/>
      <x:c r="N209" s="61"/>
      <x:c r="O209" s="61"/>
      <x:c r="P209" s="61"/>
      <x:c r="Q209" s="61"/>
    </x:row>
    <x:row r="210">
      <x:c r="A210" s="61"/>
      <x:c r="B210" s="61"/>
      <x:c r="C210" s="61"/>
      <x:c r="D210" s="61"/>
      <x:c r="E210" s="61"/>
      <x:c r="F210" s="61"/>
      <x:c r="G210" s="61"/>
      <x:c r="H210" s="61"/>
      <x:c r="I210" s="61"/>
      <x:c r="J210" s="61"/>
      <x:c r="K210" s="61"/>
      <x:c r="L210" s="61"/>
      <x:c r="M210" s="61"/>
      <x:c r="N210" s="61"/>
      <x:c r="O210" s="61"/>
      <x:c r="P210" s="61"/>
      <x:c r="Q210" s="61"/>
    </x:row>
    <x:row r="211">
      <x:c r="A211" s="61"/>
      <x:c r="B211" s="61"/>
      <x:c r="C211" s="61"/>
      <x:c r="D211" s="61"/>
      <x:c r="E211" s="61"/>
      <x:c r="F211" s="61"/>
      <x:c r="G211" s="61"/>
      <x:c r="H211" s="61"/>
      <x:c r="I211" s="61"/>
      <x:c r="J211" s="61"/>
      <x:c r="K211" s="61"/>
      <x:c r="L211" s="61"/>
      <x:c r="M211" s="61"/>
      <x:c r="N211" s="61"/>
      <x:c r="O211" s="61"/>
      <x:c r="P211" s="61"/>
      <x:c r="Q211" s="61"/>
    </x:row>
    <x:row r="212">
      <x:c r="A212" s="61"/>
      <x:c r="B212" s="61"/>
      <x:c r="C212" s="61"/>
      <x:c r="D212" s="61"/>
      <x:c r="E212" s="61"/>
      <x:c r="F212" s="61"/>
      <x:c r="G212" s="61"/>
      <x:c r="H212" s="61"/>
      <x:c r="I212" s="61"/>
      <x:c r="J212" s="61"/>
      <x:c r="K212" s="61"/>
      <x:c r="L212" s="61"/>
      <x:c r="M212" s="61"/>
      <x:c r="N212" s="61"/>
      <x:c r="O212" s="61"/>
      <x:c r="P212" s="61"/>
      <x:c r="Q212" s="61"/>
    </x:row>
    <x:row r="213">
      <x:c r="A213" s="61"/>
      <x:c r="B213" s="61"/>
      <x:c r="C213" s="61"/>
      <x:c r="D213" s="61"/>
      <x:c r="E213" s="61"/>
      <x:c r="F213" s="61"/>
      <x:c r="G213" s="61"/>
      <x:c r="H213" s="61"/>
      <x:c r="I213" s="61"/>
      <x:c r="J213" s="61"/>
      <x:c r="K213" s="61"/>
      <x:c r="L213" s="61"/>
      <x:c r="M213" s="61"/>
      <x:c r="N213" s="61"/>
      <x:c r="O213" s="61"/>
      <x:c r="P213" s="61"/>
      <x:c r="Q213" s="61"/>
    </x:row>
    <x:row r="214">
      <x:c r="A214" s="61"/>
      <x:c r="B214" s="61"/>
      <x:c r="C214" s="61"/>
      <x:c r="D214" s="61"/>
      <x:c r="E214" s="61"/>
      <x:c r="F214" s="61"/>
      <x:c r="G214" s="61"/>
      <x:c r="H214" s="61"/>
      <x:c r="I214" s="61"/>
      <x:c r="J214" s="61"/>
      <x:c r="K214" s="61"/>
      <x:c r="L214" s="61"/>
      <x:c r="M214" s="61"/>
      <x:c r="N214" s="61"/>
      <x:c r="O214" s="61"/>
      <x:c r="P214" s="61"/>
      <x:c r="Q214" s="61"/>
    </x:row>
    <x:row r="215">
      <x:c r="A215" s="61"/>
      <x:c r="B215" s="61"/>
      <x:c r="C215" s="61"/>
      <x:c r="D215" s="61"/>
      <x:c r="E215" s="61"/>
      <x:c r="F215" s="61"/>
      <x:c r="G215" s="61"/>
      <x:c r="H215" s="61"/>
      <x:c r="I215" s="61"/>
      <x:c r="J215" s="61"/>
      <x:c r="K215" s="61"/>
      <x:c r="L215" s="61"/>
      <x:c r="M215" s="61"/>
      <x:c r="N215" s="61"/>
      <x:c r="O215" s="61"/>
      <x:c r="P215" s="61"/>
      <x:c r="Q215" s="61"/>
    </x:row>
    <x:row r="216">
      <x:c r="A216" s="61"/>
      <x:c r="B216" s="61"/>
      <x:c r="C216" s="61"/>
      <x:c r="D216" s="61"/>
      <x:c r="E216" s="61"/>
      <x:c r="F216" s="61"/>
      <x:c r="G216" s="61"/>
      <x:c r="H216" s="61"/>
      <x:c r="I216" s="61"/>
      <x:c r="J216" s="61"/>
      <x:c r="K216" s="61"/>
      <x:c r="L216" s="61"/>
      <x:c r="M216" s="61"/>
      <x:c r="N216" s="61"/>
      <x:c r="O216" s="61"/>
      <x:c r="P216" s="61"/>
      <x:c r="Q216" s="61"/>
    </x:row>
    <x:row r="217">
      <x:c r="A217" s="61"/>
      <x:c r="B217" s="61"/>
      <x:c r="C217" s="61"/>
      <x:c r="D217" s="61"/>
      <x:c r="E217" s="61"/>
      <x:c r="F217" s="61"/>
      <x:c r="G217" s="61"/>
      <x:c r="H217" s="61"/>
      <x:c r="I217" s="61"/>
      <x:c r="J217" s="61"/>
      <x:c r="K217" s="61"/>
      <x:c r="L217" s="61"/>
      <x:c r="M217" s="61"/>
      <x:c r="N217" s="61"/>
      <x:c r="O217" s="61"/>
      <x:c r="P217" s="61"/>
      <x:c r="Q217" s="61"/>
    </x:row>
    <x:row r="218">
      <x:c r="A218" s="61"/>
      <x:c r="B218" s="61"/>
      <x:c r="C218" s="61"/>
      <x:c r="D218" s="61"/>
      <x:c r="E218" s="61"/>
      <x:c r="F218" s="61"/>
      <x:c r="G218" s="61"/>
      <x:c r="H218" s="61"/>
      <x:c r="I218" s="61"/>
      <x:c r="J218" s="61"/>
      <x:c r="K218" s="61"/>
      <x:c r="L218" s="61"/>
      <x:c r="M218" s="61"/>
      <x:c r="N218" s="61"/>
      <x:c r="O218" s="61"/>
      <x:c r="P218" s="61"/>
      <x:c r="Q218" s="61"/>
    </x:row>
    <x:row r="219">
      <x:c r="A219" s="61"/>
      <x:c r="B219" s="61"/>
      <x:c r="C219" s="61"/>
      <x:c r="D219" s="61"/>
      <x:c r="E219" s="61"/>
      <x:c r="F219" s="61"/>
      <x:c r="G219" s="61"/>
      <x:c r="H219" s="61"/>
      <x:c r="I219" s="61"/>
      <x:c r="J219" s="61"/>
      <x:c r="K219" s="61"/>
      <x:c r="L219" s="61"/>
      <x:c r="M219" s="61"/>
      <x:c r="N219" s="61"/>
      <x:c r="O219" s="61"/>
      <x:c r="P219" s="61"/>
      <x:c r="Q219" s="61"/>
    </x:row>
    <x:row r="220">
      <x:c r="A220" s="61"/>
      <x:c r="B220" s="61"/>
      <x:c r="C220" s="61"/>
      <x:c r="D220" s="61"/>
      <x:c r="E220" s="61"/>
      <x:c r="F220" s="61"/>
      <x:c r="G220" s="61"/>
      <x:c r="H220" s="61"/>
      <x:c r="I220" s="61"/>
      <x:c r="J220" s="61"/>
      <x:c r="K220" s="61"/>
      <x:c r="L220" s="61"/>
      <x:c r="M220" s="61"/>
      <x:c r="N220" s="61"/>
      <x:c r="O220" s="61"/>
      <x:c r="P220" s="61"/>
      <x:c r="Q220" s="61"/>
    </x:row>
    <x:row r="221">
      <x:c r="A221" s="61"/>
      <x:c r="B221" s="61"/>
      <x:c r="C221" s="61"/>
      <x:c r="D221" s="61"/>
      <x:c r="E221" s="61"/>
      <x:c r="F221" s="61"/>
      <x:c r="G221" s="61"/>
      <x:c r="H221" s="61"/>
      <x:c r="I221" s="61"/>
      <x:c r="J221" s="61"/>
      <x:c r="K221" s="61"/>
      <x:c r="L221" s="61"/>
      <x:c r="M221" s="61"/>
      <x:c r="N221" s="61"/>
      <x:c r="O221" s="61"/>
      <x:c r="P221" s="61"/>
      <x:c r="Q221" s="61"/>
    </x:row>
    <x:row r="222">
      <x:c r="A222" s="61"/>
      <x:c r="B222" s="61"/>
      <x:c r="C222" s="61"/>
      <x:c r="D222" s="61"/>
      <x:c r="E222" s="61"/>
      <x:c r="F222" s="61"/>
      <x:c r="G222" s="61"/>
      <x:c r="H222" s="61"/>
      <x:c r="I222" s="61"/>
      <x:c r="J222" s="61"/>
      <x:c r="K222" s="61"/>
      <x:c r="L222" s="61"/>
      <x:c r="M222" s="61"/>
      <x:c r="N222" s="61"/>
      <x:c r="O222" s="61"/>
      <x:c r="P222" s="61"/>
      <x:c r="Q222" s="61"/>
    </x:row>
    <x:row r="223">
      <x:c r="A223" s="61"/>
      <x:c r="B223" s="61"/>
      <x:c r="C223" s="61"/>
      <x:c r="D223" s="61"/>
      <x:c r="E223" s="61"/>
      <x:c r="F223" s="61"/>
      <x:c r="G223" s="61"/>
      <x:c r="H223" s="61"/>
      <x:c r="I223" s="61"/>
      <x:c r="J223" s="61"/>
      <x:c r="K223" s="61"/>
      <x:c r="L223" s="61"/>
      <x:c r="M223" s="61"/>
      <x:c r="N223" s="61"/>
      <x:c r="O223" s="61"/>
      <x:c r="P223" s="61"/>
      <x:c r="Q223" s="61"/>
    </x:row>
    <x:row r="224">
      <x:c r="A224" s="61"/>
      <x:c r="B224" s="61"/>
      <x:c r="C224" s="61"/>
      <x:c r="D224" s="61"/>
      <x:c r="E224" s="61"/>
      <x:c r="F224" s="61"/>
      <x:c r="G224" s="61"/>
      <x:c r="H224" s="61"/>
      <x:c r="I224" s="61"/>
      <x:c r="J224" s="61"/>
      <x:c r="K224" s="61"/>
      <x:c r="L224" s="61"/>
      <x:c r="M224" s="61"/>
      <x:c r="N224" s="61"/>
      <x:c r="O224" s="61"/>
      <x:c r="P224" s="61"/>
      <x:c r="Q224" s="61"/>
    </x:row>
    <x:row r="225">
      <x:c r="A225" s="61"/>
      <x:c r="B225" s="61"/>
      <x:c r="C225" s="61"/>
      <x:c r="D225" s="61"/>
      <x:c r="E225" s="61"/>
      <x:c r="F225" s="61"/>
      <x:c r="G225" s="61"/>
      <x:c r="H225" s="61"/>
      <x:c r="I225" s="61"/>
      <x:c r="J225" s="61"/>
      <x:c r="K225" s="61"/>
      <x:c r="L225" s="61"/>
      <x:c r="M225" s="61"/>
      <x:c r="N225" s="61"/>
      <x:c r="O225" s="61"/>
      <x:c r="P225" s="61"/>
      <x:c r="Q225" s="61"/>
    </x:row>
    <x:row r="226">
      <x:c r="A226" s="61"/>
      <x:c r="B226" s="61"/>
      <x:c r="C226" s="61"/>
      <x:c r="D226" s="61"/>
      <x:c r="E226" s="61"/>
      <x:c r="F226" s="61"/>
      <x:c r="G226" s="61"/>
      <x:c r="H226" s="61"/>
      <x:c r="I226" s="61"/>
      <x:c r="J226" s="61"/>
      <x:c r="K226" s="61"/>
      <x:c r="L226" s="61"/>
      <x:c r="M226" s="61"/>
      <x:c r="N226" s="61"/>
      <x:c r="O226" s="61"/>
      <x:c r="P226" s="61"/>
      <x:c r="Q226" s="61"/>
    </x:row>
    <x:row r="227">
      <x:c r="A227" s="61"/>
      <x:c r="B227" s="61"/>
      <x:c r="C227" s="61"/>
      <x:c r="D227" s="61"/>
      <x:c r="E227" s="61"/>
      <x:c r="F227" s="61"/>
      <x:c r="G227" s="61"/>
      <x:c r="H227" s="61"/>
      <x:c r="I227" s="61"/>
      <x:c r="J227" s="61"/>
      <x:c r="K227" s="61"/>
      <x:c r="L227" s="61"/>
      <x:c r="M227" s="61"/>
      <x:c r="N227" s="61"/>
      <x:c r="O227" s="61"/>
      <x:c r="P227" s="61"/>
      <x:c r="Q227" s="61"/>
    </x:row>
    <x:row r="228">
      <x:c r="A228" s="61"/>
      <x:c r="B228" s="61"/>
      <x:c r="C228" s="61"/>
      <x:c r="D228" s="61"/>
      <x:c r="E228" s="61"/>
      <x:c r="F228" s="61"/>
      <x:c r="G228" s="61"/>
      <x:c r="H228" s="61"/>
      <x:c r="I228" s="61"/>
      <x:c r="J228" s="61"/>
      <x:c r="K228" s="61"/>
      <x:c r="L228" s="61"/>
      <x:c r="M228" s="61"/>
      <x:c r="N228" s="61"/>
      <x:c r="O228" s="61"/>
      <x:c r="P228" s="61"/>
      <x:c r="Q228" s="61"/>
    </x:row>
    <x:row r="229">
      <x:c r="A229" s="61"/>
      <x:c r="B229" s="61"/>
      <x:c r="C229" s="61"/>
      <x:c r="D229" s="61"/>
      <x:c r="E229" s="61"/>
      <x:c r="F229" s="61"/>
      <x:c r="G229" s="61"/>
      <x:c r="H229" s="61"/>
      <x:c r="I229" s="61"/>
      <x:c r="J229" s="61"/>
      <x:c r="K229" s="61"/>
      <x:c r="L229" s="61"/>
      <x:c r="M229" s="61"/>
      <x:c r="N229" s="61"/>
      <x:c r="O229" s="61"/>
      <x:c r="P229" s="61"/>
      <x:c r="Q229" s="61"/>
    </x:row>
    <x:row r="230">
      <x:c r="A230" s="61"/>
      <x:c r="B230" s="61"/>
      <x:c r="C230" s="61"/>
      <x:c r="D230" s="61"/>
      <x:c r="E230" s="61"/>
      <x:c r="F230" s="61"/>
      <x:c r="G230" s="61"/>
      <x:c r="H230" s="61"/>
      <x:c r="I230" s="61"/>
      <x:c r="J230" s="61"/>
      <x:c r="K230" s="61"/>
      <x:c r="L230" s="61"/>
      <x:c r="M230" s="61"/>
      <x:c r="N230" s="61"/>
      <x:c r="O230" s="61"/>
      <x:c r="P230" s="61"/>
      <x:c r="Q230" s="61"/>
    </x:row>
    <x:row r="231">
      <x:c r="A231" s="61"/>
      <x:c r="B231" s="61"/>
      <x:c r="C231" s="61"/>
      <x:c r="D231" s="61"/>
      <x:c r="E231" s="61"/>
      <x:c r="F231" s="61"/>
      <x:c r="G231" s="61"/>
      <x:c r="H231" s="61"/>
      <x:c r="I231" s="61"/>
      <x:c r="J231" s="61"/>
      <x:c r="K231" s="61"/>
      <x:c r="L231" s="61"/>
      <x:c r="M231" s="61"/>
      <x:c r="N231" s="61"/>
      <x:c r="O231" s="61"/>
      <x:c r="P231" s="61"/>
      <x:c r="Q231" s="61"/>
    </x:row>
    <x:row r="232">
      <x:c r="A232" s="61"/>
      <x:c r="B232" s="61"/>
      <x:c r="C232" s="61"/>
      <x:c r="D232" s="61"/>
      <x:c r="E232" s="61"/>
      <x:c r="F232" s="61"/>
      <x:c r="G232" s="61"/>
      <x:c r="H232" s="61"/>
      <x:c r="I232" s="61"/>
      <x:c r="J232" s="61"/>
      <x:c r="K232" s="61"/>
      <x:c r="L232" s="61"/>
      <x:c r="M232" s="61"/>
      <x:c r="N232" s="61"/>
      <x:c r="O232" s="61"/>
      <x:c r="P232" s="61"/>
      <x:c r="Q232" s="61"/>
    </x:row>
    <x:row r="233">
      <x:c r="A233" s="61"/>
      <x:c r="B233" s="61"/>
      <x:c r="C233" s="61"/>
      <x:c r="D233" s="61"/>
      <x:c r="E233" s="61"/>
      <x:c r="F233" s="61"/>
      <x:c r="G233" s="61"/>
      <x:c r="H233" s="61"/>
      <x:c r="I233" s="61"/>
      <x:c r="J233" s="61"/>
      <x:c r="K233" s="61"/>
      <x:c r="L233" s="61"/>
      <x:c r="M233" s="61"/>
      <x:c r="N233" s="61"/>
      <x:c r="O233" s="61"/>
      <x:c r="P233" s="61"/>
      <x:c r="Q233" s="61"/>
    </x:row>
    <x:row r="234">
      <x:c r="A234" s="61"/>
      <x:c r="B234" s="61"/>
      <x:c r="C234" s="61"/>
      <x:c r="D234" s="61"/>
      <x:c r="E234" s="61"/>
      <x:c r="F234" s="61"/>
      <x:c r="G234" s="61"/>
      <x:c r="H234" s="61"/>
      <x:c r="I234" s="61"/>
      <x:c r="J234" s="61"/>
      <x:c r="K234" s="61"/>
      <x:c r="L234" s="61"/>
      <x:c r="M234" s="61"/>
      <x:c r="N234" s="61"/>
      <x:c r="O234" s="61"/>
      <x:c r="P234" s="61"/>
      <x:c r="Q234" s="61"/>
    </x:row>
    <x:row r="235">
      <x:c r="A235" s="61"/>
      <x:c r="B235" s="61"/>
      <x:c r="C235" s="61"/>
      <x:c r="D235" s="61"/>
      <x:c r="E235" s="61"/>
      <x:c r="F235" s="61"/>
      <x:c r="G235" s="61"/>
      <x:c r="H235" s="61"/>
      <x:c r="I235" s="61"/>
      <x:c r="J235" s="61"/>
      <x:c r="K235" s="61"/>
      <x:c r="L235" s="61"/>
      <x:c r="M235" s="61"/>
      <x:c r="N235" s="61"/>
      <x:c r="O235" s="61"/>
      <x:c r="P235" s="61"/>
      <x:c r="Q235" s="61"/>
    </x:row>
    <x:row r="236">
      <x:c r="A236" s="61"/>
      <x:c r="B236" s="61"/>
      <x:c r="C236" s="61"/>
      <x:c r="D236" s="61"/>
      <x:c r="E236" s="61"/>
      <x:c r="F236" s="61"/>
      <x:c r="G236" s="61"/>
      <x:c r="H236" s="61"/>
      <x:c r="I236" s="61"/>
      <x:c r="J236" s="61"/>
      <x:c r="K236" s="61"/>
      <x:c r="L236" s="61"/>
      <x:c r="M236" s="61"/>
      <x:c r="N236" s="61"/>
      <x:c r="O236" s="61"/>
      <x:c r="P236" s="61"/>
      <x:c r="Q236" s="61"/>
    </x:row>
    <x:row r="237">
      <x:c r="A237" s="61"/>
      <x:c r="B237" s="61"/>
      <x:c r="C237" s="61"/>
      <x:c r="D237" s="61"/>
      <x:c r="E237" s="61"/>
      <x:c r="F237" s="61"/>
      <x:c r="G237" s="61"/>
      <x:c r="H237" s="61"/>
      <x:c r="I237" s="61"/>
      <x:c r="J237" s="61"/>
      <x:c r="K237" s="61"/>
      <x:c r="L237" s="61"/>
      <x:c r="M237" s="61"/>
      <x:c r="N237" s="61"/>
      <x:c r="O237" s="61"/>
      <x:c r="P237" s="61"/>
      <x:c r="Q237" s="61"/>
    </x:row>
    <x:row r="238">
      <x:c r="A238" s="61"/>
      <x:c r="B238" s="61"/>
      <x:c r="C238" s="61"/>
      <x:c r="D238" s="61"/>
      <x:c r="E238" s="61"/>
      <x:c r="F238" s="61"/>
      <x:c r="G238" s="61"/>
      <x:c r="H238" s="61"/>
      <x:c r="I238" s="61"/>
      <x:c r="J238" s="61"/>
      <x:c r="K238" s="61"/>
      <x:c r="L238" s="61"/>
      <x:c r="M238" s="61"/>
      <x:c r="N238" s="61"/>
      <x:c r="O238" s="61"/>
      <x:c r="P238" s="61"/>
      <x:c r="Q238" s="61"/>
    </x:row>
    <x:row r="239">
      <x:c r="A239" s="61"/>
      <x:c r="B239" s="61"/>
      <x:c r="C239" s="61"/>
      <x:c r="D239" s="61"/>
      <x:c r="E239" s="61"/>
      <x:c r="F239" s="61"/>
      <x:c r="G239" s="61"/>
      <x:c r="H239" s="61"/>
      <x:c r="I239" s="61"/>
      <x:c r="J239" s="61"/>
      <x:c r="K239" s="61"/>
      <x:c r="L239" s="61"/>
      <x:c r="M239" s="61"/>
      <x:c r="N239" s="61"/>
      <x:c r="O239" s="61"/>
      <x:c r="P239" s="61"/>
      <x:c r="Q239" s="61"/>
    </x:row>
    <x:row r="240">
      <x:c r="A240" s="61"/>
      <x:c r="B240" s="61"/>
      <x:c r="C240" s="61"/>
      <x:c r="D240" s="61"/>
      <x:c r="E240" s="61"/>
      <x:c r="F240" s="61"/>
      <x:c r="G240" s="61"/>
      <x:c r="H240" s="61"/>
      <x:c r="I240" s="61"/>
      <x:c r="J240" s="61"/>
      <x:c r="K240" s="61"/>
      <x:c r="L240" s="61"/>
      <x:c r="M240" s="61"/>
      <x:c r="N240" s="61"/>
      <x:c r="O240" s="61"/>
      <x:c r="P240" s="61"/>
      <x:c r="Q240" s="61"/>
    </x:row>
    <x:row r="241">
      <x:c r="A241" s="61"/>
      <x:c r="B241" s="61"/>
      <x:c r="C241" s="61"/>
      <x:c r="D241" s="61"/>
      <x:c r="E241" s="61"/>
      <x:c r="F241" s="61"/>
      <x:c r="G241" s="61"/>
      <x:c r="H241" s="61"/>
      <x:c r="I241" s="61"/>
      <x:c r="J241" s="61"/>
      <x:c r="K241" s="61"/>
      <x:c r="L241" s="61"/>
      <x:c r="M241" s="61"/>
      <x:c r="N241" s="61"/>
      <x:c r="O241" s="61"/>
      <x:c r="P241" s="61"/>
      <x:c r="Q241" s="61"/>
    </x:row>
    <x:row r="242">
      <x:c r="A242" s="61"/>
      <x:c r="B242" s="61"/>
      <x:c r="C242" s="61"/>
      <x:c r="D242" s="61"/>
      <x:c r="E242" s="61"/>
      <x:c r="F242" s="61"/>
      <x:c r="G242" s="61"/>
      <x:c r="H242" s="61"/>
      <x:c r="I242" s="61"/>
      <x:c r="J242" s="61"/>
      <x:c r="K242" s="61"/>
      <x:c r="L242" s="61"/>
      <x:c r="M242" s="61"/>
      <x:c r="N242" s="61"/>
      <x:c r="O242" s="61"/>
      <x:c r="P242" s="61"/>
      <x:c r="Q242" s="61"/>
    </x:row>
    <x:row r="243">
      <x:c r="A243" s="61"/>
      <x:c r="B243" s="61"/>
      <x:c r="C243" s="61"/>
      <x:c r="D243" s="61"/>
      <x:c r="E243" s="61"/>
      <x:c r="F243" s="61"/>
      <x:c r="G243" s="61"/>
      <x:c r="H243" s="61"/>
      <x:c r="I243" s="61"/>
      <x:c r="J243" s="61"/>
      <x:c r="K243" s="61"/>
      <x:c r="L243" s="61"/>
      <x:c r="M243" s="61"/>
      <x:c r="N243" s="61"/>
      <x:c r="O243" s="61"/>
      <x:c r="P243" s="61"/>
      <x:c r="Q243" s="61"/>
    </x:row>
    <x:row r="244">
      <x:c r="A244" s="61"/>
      <x:c r="B244" s="61"/>
      <x:c r="C244" s="61"/>
      <x:c r="D244" s="61"/>
      <x:c r="E244" s="61"/>
      <x:c r="F244" s="61"/>
      <x:c r="G244" s="61"/>
      <x:c r="H244" s="61"/>
      <x:c r="I244" s="61"/>
      <x:c r="J244" s="61"/>
      <x:c r="K244" s="61"/>
      <x:c r="L244" s="61"/>
      <x:c r="M244" s="61"/>
      <x:c r="N244" s="61"/>
      <x:c r="O244" s="61"/>
      <x:c r="P244" s="61"/>
      <x:c r="Q244" s="61"/>
    </x:row>
    <x:row r="245">
      <x:c r="A245" s="61"/>
      <x:c r="B245" s="61"/>
      <x:c r="C245" s="61"/>
      <x:c r="D245" s="61"/>
      <x:c r="E245" s="61"/>
      <x:c r="F245" s="61"/>
      <x:c r="G245" s="61"/>
      <x:c r="H245" s="61"/>
      <x:c r="I245" s="61"/>
      <x:c r="J245" s="61"/>
      <x:c r="K245" s="61"/>
      <x:c r="L245" s="61"/>
      <x:c r="M245" s="61"/>
      <x:c r="N245" s="61"/>
      <x:c r="O245" s="61"/>
      <x:c r="P245" s="61"/>
      <x:c r="Q245" s="61"/>
    </x:row>
    <x:row r="246">
      <x:c r="A246" s="61"/>
      <x:c r="B246" s="61"/>
      <x:c r="C246" s="61"/>
      <x:c r="D246" s="61"/>
      <x:c r="E246" s="61"/>
      <x:c r="F246" s="61"/>
      <x:c r="G246" s="61"/>
      <x:c r="H246" s="61"/>
      <x:c r="I246" s="61"/>
      <x:c r="J246" s="61"/>
      <x:c r="K246" s="61"/>
      <x:c r="L246" s="61"/>
      <x:c r="M246" s="61"/>
      <x:c r="N246" s="61"/>
      <x:c r="O246" s="61"/>
      <x:c r="P246" s="61"/>
      <x:c r="Q246" s="61"/>
    </x:row>
    <x:row r="247">
      <x:c r="A247" s="61"/>
      <x:c r="B247" s="61"/>
      <x:c r="C247" s="61"/>
      <x:c r="D247" s="61"/>
      <x:c r="E247" s="61"/>
      <x:c r="F247" s="61"/>
      <x:c r="G247" s="61"/>
      <x:c r="H247" s="61"/>
      <x:c r="I247" s="61"/>
      <x:c r="J247" s="61"/>
      <x:c r="K247" s="61"/>
      <x:c r="L247" s="61"/>
      <x:c r="M247" s="61"/>
      <x:c r="N247" s="61"/>
      <x:c r="O247" s="61"/>
      <x:c r="P247" s="61"/>
      <x:c r="Q247" s="61"/>
    </x:row>
    <x:row r="248">
      <x:c r="A248" s="61"/>
      <x:c r="B248" s="61"/>
      <x:c r="C248" s="61"/>
      <x:c r="D248" s="61"/>
      <x:c r="E248" s="61"/>
      <x:c r="F248" s="61"/>
      <x:c r="G248" s="61"/>
      <x:c r="H248" s="61"/>
      <x:c r="I248" s="61"/>
      <x:c r="J248" s="61"/>
      <x:c r="K248" s="61"/>
      <x:c r="L248" s="61"/>
      <x:c r="M248" s="61"/>
      <x:c r="N248" s="61"/>
      <x:c r="O248" s="61"/>
      <x:c r="P248" s="61"/>
      <x:c r="Q248" s="61"/>
    </x:row>
    <x:row r="249">
      <x:c r="A249" s="61"/>
      <x:c r="B249" s="61"/>
      <x:c r="C249" s="61"/>
      <x:c r="D249" s="61"/>
      <x:c r="E249" s="61"/>
      <x:c r="F249" s="61"/>
      <x:c r="G249" s="61"/>
      <x:c r="H249" s="61"/>
      <x:c r="I249" s="61"/>
      <x:c r="J249" s="61"/>
      <x:c r="K249" s="61"/>
      <x:c r="L249" s="61"/>
      <x:c r="M249" s="61"/>
      <x:c r="N249" s="61"/>
      <x:c r="O249" s="61"/>
      <x:c r="P249" s="61"/>
      <x:c r="Q249" s="61"/>
    </x:row>
    <x:row r="250">
      <x:c r="A250" s="61"/>
      <x:c r="B250" s="61"/>
      <x:c r="C250" s="61"/>
      <x:c r="D250" s="61"/>
      <x:c r="E250" s="61"/>
      <x:c r="F250" s="61"/>
      <x:c r="G250" s="61"/>
      <x:c r="H250" s="61"/>
      <x:c r="I250" s="61"/>
      <x:c r="J250" s="61"/>
      <x:c r="K250" s="61"/>
      <x:c r="L250" s="61"/>
      <x:c r="M250" s="61"/>
      <x:c r="N250" s="61"/>
      <x:c r="O250" s="61"/>
      <x:c r="P250" s="61"/>
      <x:c r="Q250" s="61"/>
    </x:row>
    <x:row r="251">
      <x:c r="A251" s="61"/>
      <x:c r="B251" s="61"/>
      <x:c r="C251" s="61"/>
      <x:c r="D251" s="61"/>
      <x:c r="E251" s="61"/>
      <x:c r="F251" s="61"/>
      <x:c r="G251" s="61"/>
      <x:c r="H251" s="61"/>
      <x:c r="I251" s="61"/>
      <x:c r="J251" s="61"/>
      <x:c r="K251" s="61"/>
      <x:c r="L251" s="61"/>
      <x:c r="M251" s="61"/>
      <x:c r="N251" s="61"/>
      <x:c r="O251" s="61"/>
      <x:c r="P251" s="61"/>
      <x:c r="Q251" s="61"/>
    </x:row>
    <x:row r="252">
      <x:c r="A252" s="61"/>
      <x:c r="B252" s="61"/>
      <x:c r="C252" s="61"/>
      <x:c r="D252" s="61"/>
      <x:c r="E252" s="61"/>
      <x:c r="F252" s="61"/>
      <x:c r="G252" s="61"/>
      <x:c r="H252" s="61"/>
      <x:c r="I252" s="61"/>
      <x:c r="J252" s="61"/>
      <x:c r="K252" s="61"/>
      <x:c r="L252" s="61"/>
      <x:c r="M252" s="61"/>
      <x:c r="N252" s="61"/>
      <x:c r="O252" s="61"/>
      <x:c r="P252" s="61"/>
      <x:c r="Q252" s="61"/>
    </x:row>
    <x:row r="253">
      <x:c r="A253" s="61"/>
      <x:c r="B253" s="61"/>
      <x:c r="C253" s="61"/>
      <x:c r="D253" s="61"/>
      <x:c r="E253" s="61"/>
      <x:c r="F253" s="61"/>
      <x:c r="G253" s="61"/>
      <x:c r="H253" s="61"/>
      <x:c r="I253" s="61"/>
      <x:c r="J253" s="61"/>
      <x:c r="K253" s="61"/>
      <x:c r="L253" s="61"/>
      <x:c r="M253" s="61"/>
      <x:c r="N253" s="61"/>
      <x:c r="O253" s="61"/>
      <x:c r="P253" s="61"/>
      <x:c r="Q253" s="61"/>
    </x:row>
    <x:row r="254">
      <x:c r="A254" s="61"/>
      <x:c r="B254" s="61"/>
      <x:c r="C254" s="61"/>
      <x:c r="D254" s="61"/>
      <x:c r="E254" s="61"/>
      <x:c r="F254" s="61"/>
      <x:c r="G254" s="61"/>
      <x:c r="H254" s="61"/>
      <x:c r="I254" s="61"/>
      <x:c r="J254" s="61"/>
      <x:c r="K254" s="61"/>
      <x:c r="L254" s="61"/>
      <x:c r="M254" s="61"/>
      <x:c r="N254" s="61"/>
      <x:c r="O254" s="61"/>
      <x:c r="P254" s="61"/>
      <x:c r="Q254" s="61"/>
    </x:row>
    <x:row r="255">
      <x:c r="A255" s="61"/>
      <x:c r="B255" s="61"/>
      <x:c r="C255" s="61"/>
      <x:c r="D255" s="61"/>
      <x:c r="E255" s="61"/>
      <x:c r="F255" s="61"/>
      <x:c r="G255" s="61"/>
      <x:c r="H255" s="61"/>
      <x:c r="I255" s="61"/>
      <x:c r="J255" s="61"/>
      <x:c r="K255" s="61"/>
      <x:c r="L255" s="61"/>
      <x:c r="M255" s="61"/>
      <x:c r="N255" s="61"/>
      <x:c r="O255" s="61"/>
      <x:c r="P255" s="61"/>
      <x:c r="Q255" s="61"/>
    </x:row>
    <x:row r="256">
      <x:c r="A256" s="61"/>
      <x:c r="B256" s="61"/>
      <x:c r="C256" s="61"/>
      <x:c r="D256" s="61"/>
      <x:c r="E256" s="61"/>
      <x:c r="F256" s="61"/>
      <x:c r="G256" s="61"/>
      <x:c r="H256" s="61"/>
      <x:c r="I256" s="61"/>
      <x:c r="J256" s="61"/>
      <x:c r="K256" s="61"/>
      <x:c r="L256" s="61"/>
      <x:c r="M256" s="61"/>
      <x:c r="N256" s="61"/>
      <x:c r="O256" s="61"/>
      <x:c r="P256" s="61"/>
      <x:c r="Q256" s="61"/>
    </x:row>
    <x:row r="257">
      <x:c r="A257" s="61"/>
      <x:c r="B257" s="61"/>
      <x:c r="C257" s="61"/>
      <x:c r="D257" s="61"/>
      <x:c r="E257" s="61"/>
      <x:c r="F257" s="61"/>
      <x:c r="G257" s="61"/>
      <x:c r="H257" s="61"/>
      <x:c r="I257" s="61"/>
      <x:c r="J257" s="61"/>
      <x:c r="K257" s="61"/>
      <x:c r="L257" s="61"/>
      <x:c r="M257" s="61"/>
      <x:c r="N257" s="61"/>
      <x:c r="O257" s="61"/>
      <x:c r="P257" s="61"/>
      <x:c r="Q257" s="61"/>
    </x:row>
    <x:row r="258">
      <x:c r="A258" s="61"/>
      <x:c r="B258" s="61"/>
      <x:c r="C258" s="61"/>
      <x:c r="D258" s="61"/>
      <x:c r="E258" s="61"/>
      <x:c r="F258" s="61"/>
      <x:c r="G258" s="61"/>
      <x:c r="H258" s="61"/>
      <x:c r="I258" s="61"/>
      <x:c r="J258" s="61"/>
      <x:c r="K258" s="61"/>
      <x:c r="L258" s="61"/>
      <x:c r="M258" s="61"/>
      <x:c r="N258" s="61"/>
      <x:c r="O258" s="61"/>
      <x:c r="P258" s="61"/>
      <x:c r="Q258" s="61"/>
    </x:row>
    <x:row r="259">
      <x:c r="A259" s="61"/>
      <x:c r="B259" s="61"/>
      <x:c r="C259" s="61"/>
      <x:c r="D259" s="61"/>
      <x:c r="E259" s="61"/>
      <x:c r="F259" s="61"/>
      <x:c r="G259" s="61"/>
      <x:c r="H259" s="61"/>
      <x:c r="I259" s="61"/>
      <x:c r="J259" s="61"/>
      <x:c r="K259" s="61"/>
      <x:c r="L259" s="61"/>
      <x:c r="M259" s="61"/>
      <x:c r="N259" s="61"/>
      <x:c r="O259" s="61"/>
      <x:c r="P259" s="61"/>
      <x:c r="Q259" s="61"/>
    </x:row>
    <x:row r="260">
      <x:c r="A260" s="61"/>
      <x:c r="B260" s="61"/>
      <x:c r="C260" s="61"/>
      <x:c r="D260" s="61"/>
      <x:c r="E260" s="61"/>
      <x:c r="F260" s="61"/>
      <x:c r="G260" s="61"/>
      <x:c r="H260" s="61"/>
      <x:c r="I260" s="61"/>
      <x:c r="J260" s="61"/>
      <x:c r="K260" s="61"/>
      <x:c r="L260" s="61"/>
      <x:c r="M260" s="61"/>
      <x:c r="N260" s="61"/>
      <x:c r="O260" s="61"/>
      <x:c r="P260" s="61"/>
      <x:c r="Q260" s="61"/>
    </x:row>
    <x:row r="261">
      <x:c r="A261" s="61"/>
      <x:c r="B261" s="61"/>
      <x:c r="C261" s="61"/>
      <x:c r="D261" s="61"/>
      <x:c r="E261" s="61"/>
      <x:c r="F261" s="61"/>
      <x:c r="G261" s="61"/>
      <x:c r="H261" s="61"/>
      <x:c r="I261" s="61"/>
      <x:c r="J261" s="61"/>
      <x:c r="K261" s="61"/>
      <x:c r="L261" s="61"/>
      <x:c r="M261" s="61"/>
      <x:c r="N261" s="61"/>
      <x:c r="O261" s="61"/>
      <x:c r="P261" s="61"/>
      <x:c r="Q261" s="61"/>
    </x:row>
    <x:row r="262">
      <x:c r="A262" s="61"/>
      <x:c r="B262" s="61"/>
      <x:c r="C262" s="61"/>
      <x:c r="D262" s="61"/>
      <x:c r="E262" s="61"/>
      <x:c r="F262" s="61"/>
      <x:c r="G262" s="61"/>
      <x:c r="H262" s="61"/>
      <x:c r="I262" s="61"/>
      <x:c r="J262" s="61"/>
      <x:c r="K262" s="61"/>
      <x:c r="L262" s="61"/>
      <x:c r="M262" s="61"/>
      <x:c r="N262" s="61"/>
      <x:c r="O262" s="61"/>
      <x:c r="P262" s="61"/>
      <x:c r="Q262" s="61"/>
    </x:row>
    <x:row r="263">
      <x:c r="A263" s="61"/>
      <x:c r="B263" s="61"/>
      <x:c r="C263" s="61"/>
      <x:c r="D263" s="61"/>
      <x:c r="E263" s="61"/>
      <x:c r="F263" s="61"/>
      <x:c r="G263" s="61"/>
      <x:c r="H263" s="61"/>
      <x:c r="I263" s="61"/>
      <x:c r="J263" s="61"/>
      <x:c r="K263" s="61"/>
      <x:c r="L263" s="61"/>
      <x:c r="M263" s="61"/>
      <x:c r="N263" s="61"/>
      <x:c r="O263" s="61"/>
      <x:c r="P263" s="61"/>
      <x:c r="Q263" s="61"/>
    </x:row>
    <x:row r="264">
      <x:c r="A264" s="61"/>
      <x:c r="B264" s="61"/>
      <x:c r="C264" s="61"/>
      <x:c r="D264" s="61"/>
      <x:c r="E264" s="61"/>
      <x:c r="F264" s="61"/>
      <x:c r="G264" s="61"/>
      <x:c r="H264" s="61"/>
      <x:c r="I264" s="61"/>
      <x:c r="J264" s="61"/>
      <x:c r="K264" s="61"/>
      <x:c r="L264" s="61"/>
      <x:c r="M264" s="61"/>
      <x:c r="N264" s="61"/>
      <x:c r="O264" s="61"/>
      <x:c r="P264" s="61"/>
      <x:c r="Q264" s="61"/>
    </x:row>
    <x:row r="265">
      <x:c r="A265" s="61"/>
      <x:c r="B265" s="61"/>
      <x:c r="C265" s="61"/>
      <x:c r="D265" s="61"/>
      <x:c r="E265" s="61"/>
      <x:c r="F265" s="61"/>
      <x:c r="G265" s="61"/>
      <x:c r="H265" s="61"/>
      <x:c r="I265" s="61"/>
      <x:c r="J265" s="61"/>
      <x:c r="K265" s="61"/>
      <x:c r="L265" s="61"/>
      <x:c r="M265" s="61"/>
      <x:c r="N265" s="61"/>
      <x:c r="O265" s="61"/>
      <x:c r="P265" s="61"/>
      <x:c r="Q265" s="61"/>
    </x:row>
    <x:row r="266">
      <x:c r="A266" s="61"/>
      <x:c r="B266" s="61"/>
      <x:c r="C266" s="61"/>
      <x:c r="D266" s="61"/>
      <x:c r="E266" s="61"/>
      <x:c r="F266" s="61"/>
      <x:c r="G266" s="61"/>
      <x:c r="H266" s="61"/>
      <x:c r="I266" s="61"/>
      <x:c r="J266" s="61"/>
      <x:c r="K266" s="61"/>
      <x:c r="L266" s="61"/>
      <x:c r="M266" s="61"/>
      <x:c r="N266" s="61"/>
      <x:c r="O266" s="61"/>
      <x:c r="P266" s="61"/>
      <x:c r="Q266" s="61"/>
    </x:row>
    <x:row r="267">
      <x:c r="A267" s="61"/>
      <x:c r="B267" s="61"/>
      <x:c r="C267" s="61"/>
      <x:c r="D267" s="61"/>
      <x:c r="E267" s="61"/>
      <x:c r="F267" s="61"/>
      <x:c r="G267" s="61"/>
      <x:c r="H267" s="61"/>
      <x:c r="I267" s="61"/>
      <x:c r="J267" s="61"/>
      <x:c r="K267" s="61"/>
      <x:c r="L267" s="61"/>
      <x:c r="M267" s="61"/>
      <x:c r="N267" s="61"/>
      <x:c r="O267" s="61"/>
      <x:c r="P267" s="61"/>
      <x:c r="Q267" s="61"/>
    </x:row>
    <x:row r="268">
      <x:c r="A268" s="61"/>
      <x:c r="B268" s="61"/>
      <x:c r="C268" s="61"/>
      <x:c r="D268" s="61"/>
      <x:c r="E268" s="61"/>
      <x:c r="F268" s="61"/>
      <x:c r="G268" s="61"/>
      <x:c r="H268" s="61"/>
      <x:c r="I268" s="61"/>
      <x:c r="J268" s="61"/>
      <x:c r="K268" s="61"/>
      <x:c r="L268" s="61"/>
      <x:c r="M268" s="61"/>
      <x:c r="N268" s="61"/>
      <x:c r="O268" s="61"/>
      <x:c r="P268" s="61"/>
      <x:c r="Q268" s="61"/>
    </x:row>
    <x:row r="269">
      <x:c r="A269" s="61"/>
      <x:c r="B269" s="61"/>
      <x:c r="C269" s="61"/>
      <x:c r="D269" s="61"/>
      <x:c r="E269" s="61"/>
      <x:c r="F269" s="61"/>
      <x:c r="G269" s="61"/>
      <x:c r="H269" s="61"/>
      <x:c r="I269" s="61"/>
      <x:c r="J269" s="61"/>
      <x:c r="K269" s="61"/>
      <x:c r="L269" s="61"/>
      <x:c r="M269" s="61"/>
      <x:c r="N269" s="61"/>
      <x:c r="O269" s="61"/>
      <x:c r="P269" s="61"/>
      <x:c r="Q269" s="61"/>
    </x:row>
    <x:row r="270">
      <x:c r="A270" s="61"/>
      <x:c r="B270" s="61"/>
      <x:c r="C270" s="61"/>
      <x:c r="D270" s="61"/>
      <x:c r="E270" s="61"/>
      <x:c r="F270" s="61"/>
      <x:c r="G270" s="61"/>
      <x:c r="H270" s="61"/>
      <x:c r="I270" s="61"/>
      <x:c r="J270" s="61"/>
      <x:c r="K270" s="61"/>
      <x:c r="L270" s="61"/>
      <x:c r="M270" s="61"/>
      <x:c r="N270" s="61"/>
      <x:c r="O270" s="61"/>
      <x:c r="P270" s="61"/>
      <x:c r="Q270" s="61"/>
    </x:row>
    <x:row r="271">
      <x:c r="A271" s="61"/>
      <x:c r="B271" s="61"/>
      <x:c r="C271" s="61"/>
      <x:c r="D271" s="61"/>
      <x:c r="E271" s="61"/>
      <x:c r="F271" s="61"/>
      <x:c r="G271" s="61"/>
      <x:c r="H271" s="61"/>
      <x:c r="I271" s="61"/>
      <x:c r="J271" s="61"/>
      <x:c r="K271" s="61"/>
      <x:c r="L271" s="61"/>
      <x:c r="M271" s="61"/>
      <x:c r="N271" s="61"/>
      <x:c r="O271" s="61"/>
      <x:c r="P271" s="61"/>
      <x:c r="Q271" s="61"/>
    </x:row>
    <x:row r="272">
      <x:c r="A272" s="61"/>
      <x:c r="B272" s="61"/>
      <x:c r="C272" s="61"/>
      <x:c r="D272" s="61"/>
      <x:c r="E272" s="61"/>
      <x:c r="F272" s="61"/>
      <x:c r="G272" s="61"/>
      <x:c r="H272" s="61"/>
      <x:c r="I272" s="61"/>
      <x:c r="J272" s="61"/>
      <x:c r="K272" s="61"/>
      <x:c r="L272" s="61"/>
      <x:c r="M272" s="61"/>
      <x:c r="N272" s="61"/>
      <x:c r="O272" s="61"/>
      <x:c r="P272" s="61"/>
      <x:c r="Q272" s="61"/>
    </x:row>
    <x:row r="273">
      <x:c r="A273" s="61"/>
      <x:c r="B273" s="61"/>
      <x:c r="C273" s="61"/>
      <x:c r="D273" s="61"/>
      <x:c r="E273" s="61"/>
      <x:c r="F273" s="61"/>
      <x:c r="G273" s="61"/>
      <x:c r="H273" s="61"/>
      <x:c r="I273" s="61"/>
      <x:c r="J273" s="61"/>
      <x:c r="K273" s="61"/>
      <x:c r="L273" s="61"/>
      <x:c r="M273" s="61"/>
      <x:c r="N273" s="61"/>
      <x:c r="O273" s="61"/>
      <x:c r="P273" s="61"/>
      <x:c r="Q273" s="61"/>
    </x:row>
    <x:row r="274">
      <x:c r="A274" s="61"/>
      <x:c r="B274" s="61"/>
      <x:c r="C274" s="61"/>
      <x:c r="D274" s="61"/>
      <x:c r="E274" s="61"/>
      <x:c r="F274" s="61"/>
      <x:c r="G274" s="61"/>
      <x:c r="H274" s="61"/>
      <x:c r="I274" s="61"/>
      <x:c r="J274" s="61"/>
      <x:c r="K274" s="61"/>
      <x:c r="L274" s="61"/>
      <x:c r="M274" s="61"/>
      <x:c r="N274" s="61"/>
      <x:c r="O274" s="61"/>
      <x:c r="P274" s="61"/>
      <x:c r="Q274" s="61"/>
    </x:row>
    <x:row r="275">
      <x:c r="A275" s="61"/>
      <x:c r="B275" s="61"/>
      <x:c r="C275" s="61"/>
      <x:c r="D275" s="61"/>
      <x:c r="E275" s="61"/>
      <x:c r="F275" s="61"/>
      <x:c r="G275" s="61"/>
      <x:c r="H275" s="61"/>
      <x:c r="I275" s="61"/>
      <x:c r="J275" s="61"/>
      <x:c r="K275" s="61"/>
      <x:c r="L275" s="61"/>
      <x:c r="M275" s="61"/>
      <x:c r="N275" s="61"/>
      <x:c r="O275" s="61"/>
      <x:c r="P275" s="61"/>
      <x:c r="Q275" s="61"/>
    </x:row>
    <x:row r="276">
      <x:c r="A276" s="61"/>
      <x:c r="B276" s="61"/>
      <x:c r="C276" s="61"/>
      <x:c r="D276" s="61"/>
      <x:c r="E276" s="61"/>
      <x:c r="F276" s="61"/>
      <x:c r="G276" s="61"/>
      <x:c r="H276" s="61"/>
      <x:c r="I276" s="61"/>
      <x:c r="J276" s="61"/>
      <x:c r="K276" s="61"/>
      <x:c r="L276" s="61"/>
      <x:c r="M276" s="61"/>
      <x:c r="N276" s="61"/>
      <x:c r="O276" s="61"/>
      <x:c r="P276" s="61"/>
      <x:c r="Q276" s="61"/>
    </x:row>
    <x:row r="277">
      <x:c r="A277" s="61"/>
      <x:c r="B277" s="61"/>
      <x:c r="C277" s="61"/>
      <x:c r="D277" s="61"/>
      <x:c r="E277" s="61"/>
      <x:c r="F277" s="61"/>
      <x:c r="G277" s="61"/>
      <x:c r="H277" s="61"/>
      <x:c r="I277" s="61"/>
      <x:c r="J277" s="61"/>
      <x:c r="K277" s="61"/>
      <x:c r="L277" s="61"/>
      <x:c r="M277" s="61"/>
      <x:c r="N277" s="61"/>
      <x:c r="O277" s="61"/>
      <x:c r="P277" s="61"/>
      <x:c r="Q277" s="61"/>
    </x:row>
    <x:row r="278">
      <x:c r="A278" s="61"/>
      <x:c r="B278" s="61"/>
      <x:c r="C278" s="61"/>
      <x:c r="D278" s="61"/>
      <x:c r="E278" s="61"/>
      <x:c r="F278" s="61"/>
      <x:c r="G278" s="61"/>
      <x:c r="H278" s="61"/>
      <x:c r="I278" s="61"/>
      <x:c r="J278" s="61"/>
      <x:c r="K278" s="61"/>
      <x:c r="L278" s="61"/>
      <x:c r="M278" s="61"/>
      <x:c r="N278" s="61"/>
      <x:c r="O278" s="61"/>
      <x:c r="P278" s="61"/>
      <x:c r="Q278" s="61"/>
    </x:row>
    <x:row r="279">
      <x:c r="A279" s="61"/>
      <x:c r="B279" s="61"/>
      <x:c r="C279" s="61"/>
      <x:c r="D279" s="61"/>
      <x:c r="E279" s="61"/>
      <x:c r="F279" s="61"/>
      <x:c r="G279" s="61"/>
      <x:c r="H279" s="61"/>
      <x:c r="I279" s="61"/>
      <x:c r="J279" s="61"/>
      <x:c r="K279" s="61"/>
      <x:c r="L279" s="61"/>
      <x:c r="M279" s="61"/>
      <x:c r="N279" s="61"/>
      <x:c r="O279" s="61"/>
      <x:c r="P279" s="61"/>
      <x:c r="Q279" s="61"/>
    </x:row>
    <x:row r="280">
      <x:c r="A280" s="61"/>
      <x:c r="B280" s="61"/>
      <x:c r="C280" s="61"/>
      <x:c r="D280" s="61"/>
      <x:c r="E280" s="61"/>
      <x:c r="F280" s="61"/>
      <x:c r="G280" s="61"/>
      <x:c r="H280" s="61"/>
      <x:c r="I280" s="61"/>
      <x:c r="J280" s="61"/>
      <x:c r="K280" s="61"/>
      <x:c r="L280" s="61"/>
      <x:c r="M280" s="61"/>
      <x:c r="N280" s="61"/>
      <x:c r="O280" s="61"/>
      <x:c r="P280" s="61"/>
      <x:c r="Q280" s="61"/>
    </x:row>
    <x:row r="281">
      <x:c r="A281" s="61"/>
      <x:c r="B281" s="61"/>
      <x:c r="C281" s="61"/>
      <x:c r="D281" s="61"/>
      <x:c r="E281" s="61"/>
      <x:c r="F281" s="61"/>
      <x:c r="G281" s="61"/>
      <x:c r="H281" s="61"/>
      <x:c r="I281" s="61"/>
      <x:c r="J281" s="61"/>
      <x:c r="K281" s="61"/>
      <x:c r="L281" s="61"/>
      <x:c r="M281" s="61"/>
      <x:c r="N281" s="61"/>
      <x:c r="O281" s="61"/>
      <x:c r="P281" s="61"/>
      <x:c r="Q281" s="61"/>
    </x:row>
    <x:row r="282">
      <x:c r="A282" s="61"/>
      <x:c r="B282" s="61"/>
      <x:c r="C282" s="61"/>
      <x:c r="D282" s="61"/>
      <x:c r="E282" s="61"/>
      <x:c r="F282" s="61"/>
      <x:c r="G282" s="61"/>
      <x:c r="H282" s="61"/>
      <x:c r="I282" s="61"/>
      <x:c r="J282" s="61"/>
      <x:c r="K282" s="61"/>
      <x:c r="L282" s="61"/>
      <x:c r="M282" s="61"/>
      <x:c r="N282" s="61"/>
      <x:c r="O282" s="61"/>
      <x:c r="P282" s="61"/>
      <x:c r="Q282" s="61"/>
    </x:row>
    <x:row r="283">
      <x:c r="A283" s="61"/>
      <x:c r="B283" s="61"/>
      <x:c r="C283" s="61"/>
      <x:c r="D283" s="61"/>
      <x:c r="E283" s="61"/>
      <x:c r="F283" s="61"/>
      <x:c r="G283" s="61"/>
      <x:c r="H283" s="61"/>
      <x:c r="I283" s="61"/>
      <x:c r="J283" s="61"/>
      <x:c r="K283" s="61"/>
      <x:c r="L283" s="61"/>
      <x:c r="M283" s="61"/>
      <x:c r="N283" s="61"/>
      <x:c r="O283" s="61"/>
      <x:c r="P283" s="61"/>
      <x:c r="Q283" s="61"/>
    </x:row>
    <x:row r="284">
      <x:c r="A284" s="61"/>
      <x:c r="B284" s="61"/>
      <x:c r="C284" s="61"/>
      <x:c r="D284" s="61"/>
      <x:c r="E284" s="61"/>
      <x:c r="F284" s="61"/>
      <x:c r="G284" s="61"/>
      <x:c r="H284" s="61"/>
      <x:c r="I284" s="61"/>
      <x:c r="J284" s="61"/>
      <x:c r="K284" s="61"/>
      <x:c r="L284" s="61"/>
      <x:c r="M284" s="61"/>
      <x:c r="N284" s="61"/>
      <x:c r="O284" s="61"/>
      <x:c r="P284" s="61"/>
      <x:c r="Q284" s="61"/>
    </x:row>
    <x:row r="285">
      <x:c r="A285" s="61"/>
      <x:c r="B285" s="61"/>
      <x:c r="C285" s="61"/>
      <x:c r="D285" s="61"/>
      <x:c r="E285" s="61"/>
      <x:c r="F285" s="61"/>
      <x:c r="G285" s="61"/>
      <x:c r="H285" s="61"/>
      <x:c r="I285" s="61"/>
      <x:c r="J285" s="61"/>
      <x:c r="K285" s="61"/>
      <x:c r="L285" s="61"/>
      <x:c r="M285" s="61"/>
      <x:c r="N285" s="61"/>
      <x:c r="O285" s="61"/>
      <x:c r="P285" s="61"/>
      <x:c r="Q285" s="61"/>
    </x:row>
    <x:row r="286">
      <x:c r="A286" s="61"/>
      <x:c r="B286" s="61"/>
      <x:c r="C286" s="61"/>
      <x:c r="D286" s="61"/>
      <x:c r="E286" s="61"/>
      <x:c r="F286" s="61"/>
      <x:c r="G286" s="61"/>
      <x:c r="H286" s="61"/>
      <x:c r="I286" s="61"/>
      <x:c r="J286" s="61"/>
      <x:c r="K286" s="61"/>
      <x:c r="L286" s="61"/>
      <x:c r="M286" s="61"/>
      <x:c r="N286" s="61"/>
      <x:c r="O286" s="61"/>
      <x:c r="P286" s="61"/>
      <x:c r="Q286" s="61"/>
    </x:row>
    <x:row r="287">
      <x:c r="A287" s="61"/>
      <x:c r="B287" s="61"/>
      <x:c r="C287" s="61"/>
      <x:c r="D287" s="61"/>
      <x:c r="E287" s="61"/>
      <x:c r="F287" s="61"/>
      <x:c r="G287" s="61"/>
      <x:c r="H287" s="61"/>
      <x:c r="I287" s="61"/>
      <x:c r="J287" s="61"/>
      <x:c r="K287" s="61"/>
      <x:c r="L287" s="61"/>
      <x:c r="M287" s="61"/>
      <x:c r="N287" s="61"/>
      <x:c r="O287" s="61"/>
      <x:c r="P287" s="61"/>
      <x:c r="Q287" s="61"/>
    </x:row>
    <x:row r="288">
      <x:c r="A288" s="61"/>
      <x:c r="B288" s="61"/>
      <x:c r="C288" s="61"/>
      <x:c r="D288" s="61"/>
      <x:c r="E288" s="61"/>
      <x:c r="F288" s="61"/>
      <x:c r="G288" s="61"/>
      <x:c r="H288" s="61"/>
      <x:c r="I288" s="61"/>
      <x:c r="J288" s="61"/>
      <x:c r="K288" s="61"/>
      <x:c r="L288" s="61"/>
      <x:c r="M288" s="61"/>
      <x:c r="N288" s="61"/>
      <x:c r="O288" s="61"/>
      <x:c r="P288" s="61"/>
      <x:c r="Q288" s="61"/>
    </x:row>
    <x:row r="289">
      <x:c r="A289" s="61"/>
      <x:c r="B289" s="61"/>
      <x:c r="C289" s="61"/>
      <x:c r="D289" s="61"/>
      <x:c r="E289" s="61"/>
      <x:c r="F289" s="61"/>
      <x:c r="G289" s="61"/>
      <x:c r="H289" s="61"/>
      <x:c r="I289" s="61"/>
      <x:c r="J289" s="61"/>
      <x:c r="K289" s="61"/>
      <x:c r="L289" s="61"/>
      <x:c r="M289" s="61"/>
      <x:c r="N289" s="61"/>
      <x:c r="O289" s="61"/>
      <x:c r="P289" s="61"/>
      <x:c r="Q289" s="61"/>
    </x:row>
    <x:row r="290">
      <x:c r="A290" s="61"/>
      <x:c r="B290" s="61"/>
      <x:c r="C290" s="61"/>
      <x:c r="D290" s="61"/>
      <x:c r="E290" s="61"/>
      <x:c r="F290" s="61"/>
      <x:c r="G290" s="61"/>
      <x:c r="H290" s="61"/>
      <x:c r="I290" s="61"/>
      <x:c r="J290" s="61"/>
      <x:c r="K290" s="61"/>
      <x:c r="L290" s="61"/>
      <x:c r="M290" s="61"/>
      <x:c r="N290" s="61"/>
      <x:c r="O290" s="61"/>
      <x:c r="P290" s="61"/>
      <x:c r="Q290" s="61"/>
    </x:row>
    <x:row r="291">
      <x:c r="A291" s="61"/>
      <x:c r="B291" s="61"/>
      <x:c r="C291" s="61"/>
      <x:c r="D291" s="61"/>
      <x:c r="E291" s="61"/>
      <x:c r="F291" s="61"/>
      <x:c r="G291" s="61"/>
      <x:c r="H291" s="61"/>
      <x:c r="I291" s="61"/>
      <x:c r="J291" s="61"/>
      <x:c r="K291" s="61"/>
      <x:c r="L291" s="61"/>
      <x:c r="M291" s="61"/>
      <x:c r="N291" s="61"/>
      <x:c r="O291" s="61"/>
      <x:c r="P291" s="61"/>
      <x:c r="Q291" s="61"/>
    </x:row>
    <x:row r="292">
      <x:c r="A292" s="61"/>
      <x:c r="B292" s="61"/>
      <x:c r="C292" s="61"/>
      <x:c r="D292" s="61"/>
      <x:c r="E292" s="61"/>
      <x:c r="F292" s="61"/>
      <x:c r="G292" s="61"/>
      <x:c r="H292" s="61"/>
      <x:c r="I292" s="61"/>
      <x:c r="J292" s="61"/>
      <x:c r="K292" s="61"/>
      <x:c r="L292" s="61"/>
      <x:c r="M292" s="61"/>
      <x:c r="N292" s="61"/>
      <x:c r="O292" s="61"/>
      <x:c r="P292" s="61"/>
      <x:c r="Q292" s="61"/>
    </x:row>
    <x:row r="293">
      <x:c r="A293" s="61"/>
      <x:c r="B293" s="61"/>
      <x:c r="C293" s="61"/>
      <x:c r="D293" s="61"/>
      <x:c r="E293" s="61"/>
      <x:c r="F293" s="61"/>
      <x:c r="G293" s="61"/>
      <x:c r="H293" s="61"/>
      <x:c r="I293" s="61"/>
      <x:c r="J293" s="61"/>
      <x:c r="K293" s="61"/>
      <x:c r="L293" s="61"/>
      <x:c r="M293" s="61"/>
      <x:c r="N293" s="61"/>
      <x:c r="O293" s="61"/>
      <x:c r="P293" s="61"/>
      <x:c r="Q293" s="61"/>
    </x:row>
    <x:row r="294">
      <x:c r="A294" s="61"/>
      <x:c r="B294" s="61"/>
      <x:c r="C294" s="61"/>
      <x:c r="D294" s="61"/>
      <x:c r="E294" s="61"/>
      <x:c r="F294" s="61"/>
      <x:c r="G294" s="61"/>
      <x:c r="H294" s="61"/>
      <x:c r="I294" s="61"/>
      <x:c r="J294" s="61"/>
      <x:c r="K294" s="61"/>
      <x:c r="L294" s="61"/>
      <x:c r="M294" s="61"/>
      <x:c r="N294" s="61"/>
      <x:c r="O294" s="61"/>
      <x:c r="P294" s="61"/>
      <x:c r="Q294" s="61"/>
    </x:row>
    <x:row r="295">
      <x:c r="A295" s="61"/>
      <x:c r="B295" s="61"/>
      <x:c r="C295" s="61"/>
      <x:c r="D295" s="61"/>
      <x:c r="E295" s="61"/>
      <x:c r="F295" s="61"/>
      <x:c r="G295" s="61"/>
      <x:c r="H295" s="61"/>
      <x:c r="I295" s="61"/>
      <x:c r="J295" s="61"/>
      <x:c r="K295" s="61"/>
      <x:c r="L295" s="61"/>
      <x:c r="M295" s="61"/>
      <x:c r="N295" s="61"/>
      <x:c r="O295" s="61"/>
      <x:c r="P295" s="61"/>
      <x:c r="Q295" s="61"/>
    </x:row>
    <x:row r="296">
      <x:c r="A296" s="61"/>
      <x:c r="B296" s="61"/>
      <x:c r="C296" s="61"/>
      <x:c r="D296" s="61"/>
      <x:c r="E296" s="61"/>
      <x:c r="F296" s="61"/>
      <x:c r="G296" s="61"/>
      <x:c r="H296" s="61"/>
      <x:c r="I296" s="61"/>
      <x:c r="J296" s="61"/>
      <x:c r="K296" s="61"/>
      <x:c r="L296" s="61"/>
      <x:c r="M296" s="61"/>
      <x:c r="N296" s="61"/>
      <x:c r="O296" s="61"/>
      <x:c r="P296" s="61"/>
      <x:c r="Q296" s="61"/>
    </x:row>
    <x:row r="297">
      <x:c r="A297" s="61"/>
      <x:c r="B297" s="61"/>
      <x:c r="C297" s="61"/>
      <x:c r="D297" s="61"/>
      <x:c r="E297" s="61"/>
      <x:c r="F297" s="61"/>
      <x:c r="G297" s="61"/>
      <x:c r="H297" s="61"/>
      <x:c r="I297" s="61"/>
      <x:c r="J297" s="61"/>
      <x:c r="K297" s="61"/>
      <x:c r="L297" s="61"/>
      <x:c r="M297" s="61"/>
      <x:c r="N297" s="61"/>
      <x:c r="O297" s="61"/>
      <x:c r="P297" s="61"/>
      <x:c r="Q297" s="61"/>
    </x:row>
    <x:row r="298">
      <x:c r="A298" s="61"/>
      <x:c r="B298" s="61"/>
      <x:c r="C298" s="61"/>
      <x:c r="D298" s="61"/>
      <x:c r="E298" s="61"/>
      <x:c r="F298" s="61"/>
      <x:c r="G298" s="61"/>
      <x:c r="H298" s="61"/>
      <x:c r="I298" s="61"/>
      <x:c r="J298" s="61"/>
      <x:c r="K298" s="61"/>
      <x:c r="L298" s="61"/>
      <x:c r="M298" s="61"/>
      <x:c r="N298" s="61"/>
      <x:c r="O298" s="61"/>
      <x:c r="P298" s="61"/>
      <x:c r="Q298" s="61"/>
    </x:row>
    <x:row r="299">
      <x:c r="A299" s="61"/>
      <x:c r="B299" s="61"/>
      <x:c r="C299" s="61"/>
      <x:c r="D299" s="61"/>
      <x:c r="E299" s="61"/>
      <x:c r="F299" s="61"/>
      <x:c r="G299" s="61"/>
      <x:c r="H299" s="61"/>
      <x:c r="I299" s="61"/>
      <x:c r="J299" s="61"/>
      <x:c r="K299" s="61"/>
      <x:c r="L299" s="61"/>
      <x:c r="M299" s="61"/>
      <x:c r="N299" s="61"/>
      <x:c r="O299" s="61"/>
      <x:c r="P299" s="61"/>
      <x:c r="Q299" s="61"/>
    </x:row>
    <x:row r="300">
      <x:c r="A300" s="61"/>
      <x:c r="B300" s="61"/>
      <x:c r="C300" s="61"/>
      <x:c r="D300" s="61"/>
      <x:c r="E300" s="61"/>
      <x:c r="F300" s="61"/>
      <x:c r="G300" s="61"/>
      <x:c r="H300" s="61"/>
      <x:c r="I300" s="61"/>
      <x:c r="J300" s="61"/>
      <x:c r="K300" s="61"/>
      <x:c r="L300" s="61"/>
      <x:c r="M300" s="61"/>
      <x:c r="N300" s="61"/>
      <x:c r="O300" s="61"/>
      <x:c r="P300" s="61"/>
      <x:c r="Q300" s="61"/>
    </x:row>
  </x:sheetData>
  <x:mergeCells>
    <x:mergeCell ref="A1:F2"/>
  </x:mergeCells>
  <x:pageMargins left="0.7" right="0.7" top="0.75" bottom="0.75" header="0.3" footer="0.3"/>
</x:worksheet>
</file>